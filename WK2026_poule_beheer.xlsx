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479" documentId="8_{E82BF418-5EC5-4A9D-9227-B9F99AE92E74}" xr6:coauthVersionLast="47" xr6:coauthVersionMax="47" xr10:uidLastSave="{583AFAB7-813D-4950-8B47-7D6B82AD6A49}"/>
  <bookViews>
    <workbookView xWindow="-30828" yWindow="-4428" windowWidth="30936" windowHeight="16776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4" i="1"/>
  <c r="AT35" i="1"/>
  <c r="AT36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8" i="3"/>
  <c r="D18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35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7" i="3"/>
  <c r="B4" i="3"/>
  <c r="B12" i="3"/>
  <c r="B9" i="3"/>
  <c r="B20" i="3"/>
  <c r="B10" i="3"/>
  <c r="B19" i="3"/>
  <c r="B13" i="3"/>
  <c r="B15" i="3"/>
  <c r="B16" i="3"/>
  <c r="B24" i="3"/>
  <c r="B21" i="3"/>
  <c r="B22" i="3"/>
  <c r="B14" i="3"/>
  <c r="D14" i="3"/>
  <c r="B11" i="3"/>
  <c r="B3" i="3"/>
  <c r="B5" i="3"/>
  <c r="B23" i="3"/>
  <c r="B8" i="3"/>
  <c r="B7" i="3"/>
  <c r="B6" i="3"/>
  <c r="AR6" i="1"/>
  <c r="AR10" i="1"/>
  <c r="AR14" i="1"/>
  <c r="AR20" i="1"/>
  <c r="AR21" i="1"/>
  <c r="AR27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B30" i="1" l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3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7" i="3" s="1"/>
  <c r="AK17" i="2"/>
  <c r="D12" i="3" s="1"/>
  <c r="AM17" i="2"/>
  <c r="D22" i="3" s="1"/>
  <c r="AI17" i="2"/>
  <c r="D21" i="3" s="1"/>
  <c r="AO17" i="2"/>
  <c r="D16" i="3" s="1"/>
  <c r="AA17" i="2"/>
  <c r="D3" i="3" s="1"/>
  <c r="AC17" i="2"/>
  <c r="D23" i="3" s="1"/>
  <c r="AE17" i="2"/>
  <c r="D8" i="3" s="1"/>
  <c r="AG17" i="2"/>
  <c r="D19" i="3" s="1"/>
  <c r="E17" i="2"/>
  <c r="D15" i="3" s="1"/>
  <c r="I17" i="2"/>
  <c r="D6" i="3" s="1"/>
  <c r="K17" i="2"/>
  <c r="D24" i="3" s="1"/>
  <c r="M17" i="2"/>
  <c r="D5" i="3" s="1"/>
  <c r="G17" i="2"/>
  <c r="D7" i="3" s="1"/>
  <c r="O17" i="2"/>
  <c r="D4" i="3" s="1"/>
  <c r="S17" i="2"/>
  <c r="D10" i="3" s="1"/>
  <c r="U17" i="2"/>
  <c r="D9" i="3" s="1"/>
  <c r="W17" i="2"/>
  <c r="D20" i="3" s="1"/>
  <c r="Y17" i="2"/>
  <c r="D11" i="3" s="1"/>
  <c r="C13" i="3" l="1"/>
  <c r="E13" i="3" s="1"/>
  <c r="C14" i="3"/>
  <c r="E14" i="3" s="1"/>
  <c r="C17" i="3"/>
  <c r="E17" i="3" s="1"/>
  <c r="C18" i="3"/>
  <c r="E18" i="3" s="1"/>
  <c r="C16" i="3"/>
  <c r="E16" i="3" s="1"/>
  <c r="C23" i="3"/>
  <c r="E23" i="3" s="1"/>
  <c r="C10" i="3"/>
  <c r="E10" i="3" s="1"/>
  <c r="C8" i="3"/>
  <c r="E8" i="3" s="1"/>
  <c r="C4" i="3"/>
  <c r="E4" i="3" s="1"/>
  <c r="C5" i="3"/>
  <c r="E5" i="3" s="1"/>
  <c r="C21" i="3"/>
  <c r="E21" i="3" s="1"/>
  <c r="C15" i="3"/>
  <c r="E15" i="3" s="1"/>
  <c r="C20" i="3"/>
  <c r="E20" i="3" s="1"/>
  <c r="C24" i="3"/>
  <c r="E24" i="3" s="1"/>
  <c r="C12" i="3"/>
  <c r="E12" i="3" s="1"/>
  <c r="C3" i="3"/>
  <c r="E3" i="3" s="1"/>
  <c r="C7" i="3"/>
  <c r="E7" i="3" s="1"/>
  <c r="C11" i="3"/>
  <c r="E11" i="3" s="1"/>
  <c r="C6" i="3"/>
  <c r="E6" i="3" s="1"/>
  <c r="C22" i="3"/>
  <c r="E22" i="3" s="1"/>
  <c r="C9" i="3"/>
  <c r="E9" i="3" s="1"/>
  <c r="C19" i="3"/>
  <c r="E19" i="3" s="1"/>
  <c r="A18" i="3" l="1"/>
  <c r="A22" i="3"/>
  <c r="A6" i="3"/>
  <c r="A14" i="3"/>
  <c r="A19" i="3"/>
  <c r="A15" i="3"/>
  <c r="A11" i="3"/>
  <c r="A24" i="3"/>
  <c r="A4" i="3"/>
  <c r="A16" i="3"/>
  <c r="A21" i="3"/>
  <c r="A9" i="3"/>
  <c r="A5" i="3"/>
  <c r="A7" i="3"/>
  <c r="A17" i="3"/>
  <c r="A10" i="3"/>
  <c r="A20" i="3"/>
  <c r="A12" i="3"/>
  <c r="A8" i="3"/>
  <c r="A23" i="3"/>
  <c r="A3" i="3"/>
  <c r="A13" i="3"/>
</calcChain>
</file>

<file path=xl/sharedStrings.xml><?xml version="1.0" encoding="utf-8"?>
<sst xmlns="http://schemas.openxmlformats.org/spreadsheetml/2006/main" count="2320" uniqueCount="330">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</sst>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AD3" activePane="bottomRight" state="frozen"/>
      <selection pane="topRight"/>
      <selection pane="bottomLeft"/>
      <selection pane="bottomRight" activeCell="C31" sqref="C31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5.5703125" style="23" customWidth="1"/>
    <col min="42" max="42" width="8.5703125" customWidth="1"/>
    <col min="43" max="43" width="15.5703125" style="23" customWidth="1"/>
    <col min="44" max="44" width="8.5703125" customWidth="1"/>
    <col min="45" max="45" width="15.7109375" style="23" customWidth="1"/>
    <col min="46" max="46" width="8.5703125" customWidth="1"/>
    <col min="47" max="47" width="15.5703125" style="23" customWidth="1"/>
    <col min="48" max="48" width="8.5703125" customWidth="1"/>
    <col min="49" max="50" width="13" hidden="1" customWidth="1"/>
  </cols>
  <sheetData>
    <row r="1" spans="1:50" x14ac:dyDescent="0.2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2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2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/>
      </c>
      <c r="G31" s="10" t="s">
        <v>36</v>
      </c>
      <c r="H31" s="11" t="str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/>
      </c>
      <c r="I31" s="10" t="s">
        <v>36</v>
      </c>
      <c r="J31" s="11" t="str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/>
      </c>
      <c r="K31" s="10" t="s">
        <v>91</v>
      </c>
      <c r="L31" s="11" t="str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/>
      </c>
      <c r="M31" s="10" t="s">
        <v>61</v>
      </c>
      <c r="N31" s="11" t="str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/>
      </c>
      <c r="O31" s="10" t="s">
        <v>36</v>
      </c>
      <c r="P31" s="11" t="str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/>
      </c>
      <c r="Q31" s="10" t="s">
        <v>38</v>
      </c>
      <c r="R31" s="11" t="str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/>
      </c>
      <c r="S31" s="10" t="s">
        <v>63</v>
      </c>
      <c r="T31" s="11" t="str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/>
      </c>
      <c r="U31" s="10" t="s">
        <v>33</v>
      </c>
      <c r="V31" s="11" t="str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/>
      </c>
      <c r="W31" s="10" t="s">
        <v>33</v>
      </c>
      <c r="X31" s="11" t="str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/>
      </c>
      <c r="Y31" s="10" t="s">
        <v>33</v>
      </c>
      <c r="Z31" s="11" t="str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/>
      </c>
      <c r="AA31" s="10" t="s">
        <v>61</v>
      </c>
      <c r="AB31" s="11" t="str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/>
      </c>
      <c r="AC31" s="10" t="s">
        <v>91</v>
      </c>
      <c r="AD31" s="11" t="str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/>
      </c>
      <c r="AE31" s="10" t="s">
        <v>34</v>
      </c>
      <c r="AF31" s="11" t="str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/>
      </c>
      <c r="AG31" s="10" t="s">
        <v>34</v>
      </c>
      <c r="AH31" s="11" t="str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/>
      </c>
      <c r="AI31" s="10" t="s">
        <v>38</v>
      </c>
      <c r="AJ31" s="11" t="str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/>
      </c>
      <c r="AK31" s="10" t="s">
        <v>34</v>
      </c>
      <c r="AL31" s="11" t="str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/>
      </c>
      <c r="AM31" s="10" t="s">
        <v>61</v>
      </c>
      <c r="AN31" s="11" t="str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/>
      </c>
      <c r="AO31" s="10" t="s">
        <v>34</v>
      </c>
      <c r="AP31" s="11" t="str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/>
      </c>
      <c r="AQ31" s="10" t="s">
        <v>43</v>
      </c>
      <c r="AR31" s="11" t="str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/>
      </c>
      <c r="AS31" s="10" t="s">
        <v>36</v>
      </c>
      <c r="AT31" s="11" t="str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/>
      </c>
      <c r="AU31" s="10" t="s">
        <v>33</v>
      </c>
      <c r="AV31" s="11" t="str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/>
      </c>
      <c r="AW31" s="11" t="str">
        <f>IF($C31="","",IFERROR(--LEFT($C31,FIND("-",$C31)-1),""))</f>
        <v/>
      </c>
      <c r="AX31" s="11" t="str">
        <f>IF($C31="","",IFERROR(--MID($C31,FIND("-",$C31)+1,99),""))</f>
        <v/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/>
      </c>
      <c r="G34" s="10" t="s">
        <v>57</v>
      </c>
      <c r="H34" s="11" t="str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/>
      </c>
      <c r="I34" s="10" t="s">
        <v>48</v>
      </c>
      <c r="J34" s="11" t="str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/>
      </c>
      <c r="K34" s="10" t="s">
        <v>48</v>
      </c>
      <c r="L34" s="11" t="str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/>
      </c>
      <c r="M34" s="10" t="s">
        <v>48</v>
      </c>
      <c r="N34" s="11" t="str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/>
      </c>
      <c r="O34" s="10" t="s">
        <v>56</v>
      </c>
      <c r="P34" s="11" t="str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/>
      </c>
      <c r="Q34" s="10" t="s">
        <v>57</v>
      </c>
      <c r="R34" s="11" t="str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/>
      </c>
      <c r="S34" s="10" t="s">
        <v>37</v>
      </c>
      <c r="T34" s="11" t="str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/>
      </c>
      <c r="U34" s="10" t="s">
        <v>48</v>
      </c>
      <c r="V34" s="11" t="str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/>
      </c>
      <c r="W34" s="10" t="s">
        <v>48</v>
      </c>
      <c r="X34" s="11" t="str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/>
      </c>
      <c r="Y34" s="10" t="s">
        <v>48</v>
      </c>
      <c r="Z34" s="11" t="str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/>
      </c>
      <c r="AA34" s="10" t="s">
        <v>48</v>
      </c>
      <c r="AB34" s="11" t="str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/>
      </c>
      <c r="AC34" s="10" t="s">
        <v>37</v>
      </c>
      <c r="AD34" s="11" t="str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/>
      </c>
      <c r="AE34" s="10" t="s">
        <v>45</v>
      </c>
      <c r="AF34" s="11" t="str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/>
      </c>
      <c r="AG34" s="10" t="s">
        <v>37</v>
      </c>
      <c r="AH34" s="11" t="str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/>
      </c>
      <c r="AI34" s="10" t="s">
        <v>48</v>
      </c>
      <c r="AJ34" s="11" t="str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/>
      </c>
      <c r="AK34" s="10" t="s">
        <v>57</v>
      </c>
      <c r="AL34" s="11" t="str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/>
      </c>
      <c r="AM34" s="10" t="s">
        <v>48</v>
      </c>
      <c r="AN34" s="11" t="str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/>
      </c>
      <c r="AO34" s="10" t="s">
        <v>35</v>
      </c>
      <c r="AP34" s="11" t="str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/>
      </c>
      <c r="AQ34" s="10" t="s">
        <v>35</v>
      </c>
      <c r="AR34" s="11" t="str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/>
      </c>
      <c r="AS34" s="10" t="s">
        <v>57</v>
      </c>
      <c r="AT34" s="11" t="str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/>
      </c>
      <c r="AU34" s="10" t="s">
        <v>45</v>
      </c>
      <c r="AV34" s="11" t="str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/>
      </c>
      <c r="AW34" s="11" t="str">
        <f>IF($C34="","",IFERROR(--LEFT($C34,FIND("-",$C34)-1),""))</f>
        <v/>
      </c>
      <c r="AX34" s="11" t="str">
        <f>IF($C34="","",IFERROR(--MID($C34,FIND("-",$C34)+1,99),""))</f>
        <v/>
      </c>
    </row>
    <row r="35" spans="1:50" ht="18" customHeight="1" x14ac:dyDescent="0.25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/>
      </c>
      <c r="G35" s="10" t="s">
        <v>33</v>
      </c>
      <c r="H35" s="11" t="str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/>
      </c>
      <c r="I35" s="10" t="s">
        <v>38</v>
      </c>
      <c r="J35" s="11" t="str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/>
      </c>
      <c r="K35" s="10" t="s">
        <v>33</v>
      </c>
      <c r="L35" s="11" t="str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/>
      </c>
      <c r="M35" s="10" t="s">
        <v>34</v>
      </c>
      <c r="N35" s="11" t="str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/>
      </c>
      <c r="O35" s="10" t="s">
        <v>38</v>
      </c>
      <c r="P35" s="11" t="str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/>
      </c>
      <c r="Q35" s="10" t="s">
        <v>33</v>
      </c>
      <c r="R35" s="11" t="str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/>
      </c>
      <c r="S35" s="10" t="s">
        <v>43</v>
      </c>
      <c r="T35" s="11" t="str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/>
      </c>
      <c r="U35" s="10" t="s">
        <v>36</v>
      </c>
      <c r="V35" s="11" t="str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/>
      </c>
      <c r="W35" s="10" t="s">
        <v>36</v>
      </c>
      <c r="X35" s="11" t="str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/>
      </c>
      <c r="Y35" s="10" t="s">
        <v>36</v>
      </c>
      <c r="Z35" s="11" t="str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/>
      </c>
      <c r="AA35" s="10" t="s">
        <v>34</v>
      </c>
      <c r="AB35" s="11" t="str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/>
      </c>
      <c r="AC35" s="10" t="s">
        <v>34</v>
      </c>
      <c r="AD35" s="11" t="str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/>
      </c>
      <c r="AE35" s="10" t="s">
        <v>38</v>
      </c>
      <c r="AF35" s="11" t="str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/>
      </c>
      <c r="AG35" s="10" t="s">
        <v>34</v>
      </c>
      <c r="AH35" s="11" t="str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/>
      </c>
      <c r="AI35" s="10" t="s">
        <v>33</v>
      </c>
      <c r="AJ35" s="11" t="str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/>
      </c>
      <c r="AK35" s="10" t="s">
        <v>36</v>
      </c>
      <c r="AL35" s="11" t="str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/>
      </c>
      <c r="AM35" s="10" t="s">
        <v>39</v>
      </c>
      <c r="AN35" s="11" t="str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/>
      </c>
      <c r="AO35" s="10" t="s">
        <v>33</v>
      </c>
      <c r="AP35" s="11" t="str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/>
      </c>
      <c r="AQ35" s="10" t="s">
        <v>33</v>
      </c>
      <c r="AR35" s="11" t="str">
        <f t="shared" si="2"/>
        <v/>
      </c>
      <c r="AS35" s="10" t="s">
        <v>39</v>
      </c>
      <c r="AT35" s="11" t="str">
        <f t="shared" si="3"/>
        <v/>
      </c>
      <c r="AU35" s="10" t="s">
        <v>36</v>
      </c>
      <c r="AV35" s="11" t="str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/>
      </c>
      <c r="AW35" s="11" t="str">
        <f>IF($C35="","",IFERROR(--LEFT($C35,FIND("-",$C35)-1),""))</f>
        <v/>
      </c>
      <c r="AX35" s="11" t="str">
        <f>IF($C35="","",IFERROR(--MID($C35,FIND("-",$C35)+1,99),""))</f>
        <v/>
      </c>
    </row>
    <row r="36" spans="1:50" ht="18" customHeight="1" x14ac:dyDescent="0.2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2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2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2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2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2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2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2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2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2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2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2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2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2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2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2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2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2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2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2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2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2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2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2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2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2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2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2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2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2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2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2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2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2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2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2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2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2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2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2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2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2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2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2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2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2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2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2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2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2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2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2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2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2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2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2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2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5" customHeight="1" x14ac:dyDescent="0.2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5" customHeight="1" x14ac:dyDescent="0.2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5" customHeight="1" x14ac:dyDescent="0.2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I14" sqref="I14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284</v>
      </c>
      <c r="B1" s="17"/>
      <c r="C1" s="17"/>
      <c r="D1" s="17"/>
      <c r="E1" s="17"/>
    </row>
    <row r="2" spans="1:5" ht="18" customHeight="1" x14ac:dyDescent="0.2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25">
      <c r="A3" s="11">
        <f>_xlfn.RANK.EQ(E3,$E$3:$E$90,0)</f>
        <v>1</v>
      </c>
      <c r="B3" s="1" t="str">
        <f>Wedstrijden_beheer!AA1</f>
        <v>Ivo</v>
      </c>
      <c r="C3" s="11">
        <f>SUM(Wedstrijden_beheer!AB3:'Wedstrijden_beheer'!AB194)</f>
        <v>66</v>
      </c>
      <c r="D3" s="11">
        <f>Bonus_beheer!AA17</f>
        <v>0</v>
      </c>
      <c r="E3" s="11">
        <f>C3+D3</f>
        <v>66</v>
      </c>
    </row>
    <row r="4" spans="1:5" ht="18" customHeight="1" x14ac:dyDescent="0.25">
      <c r="A4" s="11">
        <f>_xlfn.RANK.EQ(E4,$E$3:$E$90,0)</f>
        <v>2</v>
      </c>
      <c r="B4" s="1" t="str">
        <f>Wedstrijden_beheer!O1</f>
        <v>Maik</v>
      </c>
      <c r="C4" s="11">
        <f>SUM(Wedstrijden_beheer!P3:'Wedstrijden_beheer'!P194)</f>
        <v>65</v>
      </c>
      <c r="D4" s="11">
        <f>Bonus_beheer!O17</f>
        <v>0</v>
      </c>
      <c r="E4" s="11">
        <f>C4+D4</f>
        <v>65</v>
      </c>
    </row>
    <row r="5" spans="1:5" ht="18" customHeight="1" x14ac:dyDescent="0.25">
      <c r="A5" s="11">
        <f>_xlfn.RANK.EQ(E5,$E$3:$E$90,0)</f>
        <v>3</v>
      </c>
      <c r="B5" s="1" t="str">
        <f>Wedstrijden_beheer!M1</f>
        <v>Bas</v>
      </c>
      <c r="C5" s="11">
        <f>SUM(Wedstrijden_beheer!N3:'Wedstrijden_beheer'!N194)</f>
        <v>58</v>
      </c>
      <c r="D5" s="11">
        <f>Bonus_beheer!M17</f>
        <v>0</v>
      </c>
      <c r="E5" s="11">
        <f>C5+D5</f>
        <v>58</v>
      </c>
    </row>
    <row r="6" spans="1:5" ht="18" customHeight="1" x14ac:dyDescent="0.25">
      <c r="A6" s="11">
        <f>_xlfn.RANK.EQ(E6,$E$3:$E$90,0)</f>
        <v>4</v>
      </c>
      <c r="B6" s="1" t="str">
        <f>Wedstrijden_beheer!I1</f>
        <v>Abdussamed</v>
      </c>
      <c r="C6" s="11">
        <f>SUM(Wedstrijden_beheer!J3:'Wedstrijden_beheer'!J194)</f>
        <v>57</v>
      </c>
      <c r="D6" s="11">
        <f>Bonus_beheer!I17</f>
        <v>0</v>
      </c>
      <c r="E6" s="11">
        <f>C6+D6</f>
        <v>57</v>
      </c>
    </row>
    <row r="7" spans="1:5" ht="18" customHeight="1" x14ac:dyDescent="0.25">
      <c r="A7" s="11">
        <f>_xlfn.RANK.EQ(E7,$E$3:$E$90,0)</f>
        <v>4</v>
      </c>
      <c r="B7" s="1" t="str">
        <f>Wedstrijden_beheer!G1</f>
        <v>Nikki</v>
      </c>
      <c r="C7" s="11">
        <f>SUM(Wedstrijden_beheer!H3:'Wedstrijden_beheer'!H194)</f>
        <v>57</v>
      </c>
      <c r="D7" s="11">
        <f>Bonus_beheer!G17</f>
        <v>0</v>
      </c>
      <c r="E7" s="11">
        <f>C7+D7</f>
        <v>57</v>
      </c>
    </row>
    <row r="8" spans="1:5" ht="18" customHeight="1" x14ac:dyDescent="0.25">
      <c r="A8" s="11">
        <f>_xlfn.RANK.EQ(E8,$E$3:$E$90,0)</f>
        <v>6</v>
      </c>
      <c r="B8" s="1" t="str">
        <f>Wedstrijden_beheer!AE1</f>
        <v>Jeroen</v>
      </c>
      <c r="C8" s="11">
        <f>SUM(Wedstrijden_beheer!AF3:'Wedstrijden_beheer'!AF194)</f>
        <v>56</v>
      </c>
      <c r="D8" s="11">
        <f>Bonus_beheer!AE17</f>
        <v>0</v>
      </c>
      <c r="E8" s="11">
        <f>C8+D8</f>
        <v>56</v>
      </c>
    </row>
    <row r="9" spans="1:5" ht="18" customHeight="1" x14ac:dyDescent="0.25">
      <c r="A9" s="11">
        <f>_xlfn.RANK.EQ(E9,$E$3:$E$90,0)</f>
        <v>7</v>
      </c>
      <c r="B9" s="1" t="str">
        <f>Wedstrijden_beheer!U1</f>
        <v>Tom</v>
      </c>
      <c r="C9" s="11">
        <f>SUM(Wedstrijden_beheer!V3:'Wedstrijden_beheer'!V194)</f>
        <v>55</v>
      </c>
      <c r="D9" s="11">
        <f>Bonus_beheer!U17</f>
        <v>0</v>
      </c>
      <c r="E9" s="11">
        <f>C9+D9</f>
        <v>55</v>
      </c>
    </row>
    <row r="10" spans="1:5" ht="18" customHeight="1" x14ac:dyDescent="0.25">
      <c r="A10" s="11">
        <f>_xlfn.RANK.EQ(E10,$E$3:$E$90,0)</f>
        <v>7</v>
      </c>
      <c r="B10" s="1" t="str">
        <f>Wedstrijden_beheer!S1</f>
        <v>Marc</v>
      </c>
      <c r="C10" s="11">
        <f>SUM(Wedstrijden_beheer!T3:'Wedstrijden_beheer'!T194)</f>
        <v>55</v>
      </c>
      <c r="D10" s="11">
        <f>Bonus_beheer!S17</f>
        <v>0</v>
      </c>
      <c r="E10" s="11">
        <f>C10+D10</f>
        <v>55</v>
      </c>
    </row>
    <row r="11" spans="1:5" ht="18" customHeight="1" x14ac:dyDescent="0.25">
      <c r="A11" s="11">
        <f>_xlfn.RANK.EQ(E11,$E$3:$E$90,0)</f>
        <v>9</v>
      </c>
      <c r="B11" s="1" t="str">
        <f>Wedstrijden_beheer!Y1</f>
        <v>Lesley</v>
      </c>
      <c r="C11" s="11">
        <f>SUM(Wedstrijden_beheer!Z3:'Wedstrijden_beheer'!Z194)</f>
        <v>53</v>
      </c>
      <c r="D11" s="11">
        <f>Bonus_beheer!Y17</f>
        <v>0</v>
      </c>
      <c r="E11" s="11">
        <f>C11+D11</f>
        <v>53</v>
      </c>
    </row>
    <row r="12" spans="1:5" ht="18" customHeight="1" x14ac:dyDescent="0.25">
      <c r="A12" s="11">
        <f>_xlfn.RANK.EQ(E12,$E$3:$E$90,0)</f>
        <v>10</v>
      </c>
      <c r="B12" s="1" t="str">
        <f>Wedstrijden_beheer!AK1</f>
        <v>Kim</v>
      </c>
      <c r="C12" s="11">
        <f>SUM(Wedstrijden_beheer!AL3:'Wedstrijden_beheer'!AL194)</f>
        <v>52</v>
      </c>
      <c r="D12" s="11">
        <f>Bonus_beheer!AK17</f>
        <v>0</v>
      </c>
      <c r="E12" s="11">
        <f>C12+D12</f>
        <v>52</v>
      </c>
    </row>
    <row r="13" spans="1:5" ht="18" customHeight="1" x14ac:dyDescent="0.25">
      <c r="A13" s="11">
        <f>_xlfn.RANK.EQ(E13,$E$3:$E$90,0)</f>
        <v>11</v>
      </c>
      <c r="B13" s="1" t="str">
        <f>Wedstrijden_beheer!AU1</f>
        <v>Raymond</v>
      </c>
      <c r="C13" s="11">
        <f>SUM(Wedstrijden_beheer!AV3:'Wedstrijden_beheer'!AV194)</f>
        <v>51</v>
      </c>
      <c r="D13" s="11">
        <f>Bonus_beheer!AU17</f>
        <v>0</v>
      </c>
      <c r="E13" s="11">
        <f>C13+D13</f>
        <v>51</v>
      </c>
    </row>
    <row r="14" spans="1:5" ht="18" customHeight="1" x14ac:dyDescent="0.25">
      <c r="A14" s="11">
        <f>_xlfn.RANK.EQ(E14,$E$3:$E$90,0)</f>
        <v>11</v>
      </c>
      <c r="B14" s="1" t="str">
        <f>Wedstrijden_beheer!AQ1</f>
        <v>Jeno</v>
      </c>
      <c r="C14" s="11">
        <f>SUM(Wedstrijden_beheer!AV4:'Wedstrijden_beheer'!AV195)</f>
        <v>51</v>
      </c>
      <c r="D14" s="11">
        <f>Bonus_beheer!AU18</f>
        <v>0</v>
      </c>
      <c r="E14" s="11">
        <f>C14+D14</f>
        <v>51</v>
      </c>
    </row>
    <row r="15" spans="1:5" ht="18" customHeight="1" x14ac:dyDescent="0.25">
      <c r="A15" s="11">
        <f>_xlfn.RANK.EQ(E15,$E$3:$E$90,0)</f>
        <v>13</v>
      </c>
      <c r="B15" s="1" t="str">
        <f>Wedstrijden_beheer!E1</f>
        <v>Roland</v>
      </c>
      <c r="C15" s="11">
        <f>SUM(Wedstrijden_beheer!F3:'Wedstrijden_beheer'!F194)</f>
        <v>50</v>
      </c>
      <c r="D15" s="11">
        <f>Bonus_beheer!E17</f>
        <v>0</v>
      </c>
      <c r="E15" s="11">
        <f>C15+D15</f>
        <v>50</v>
      </c>
    </row>
    <row r="16" spans="1:5" ht="18" customHeight="1" x14ac:dyDescent="0.25">
      <c r="A16" s="11">
        <f>_xlfn.RANK.EQ(E16,$E$3:$E$90,0)</f>
        <v>14</v>
      </c>
      <c r="B16" s="1" t="str">
        <f>Wedstrijden_beheer!AO1</f>
        <v>Patrick</v>
      </c>
      <c r="C16" s="11">
        <f>SUM(Wedstrijden_beheer!AP3:'Wedstrijden_beheer'!AP194)</f>
        <v>49</v>
      </c>
      <c r="D16" s="11">
        <f>Bonus_beheer!AO17</f>
        <v>0</v>
      </c>
      <c r="E16" s="11">
        <f>C16+D16</f>
        <v>49</v>
      </c>
    </row>
    <row r="17" spans="1:5" ht="18" customHeight="1" x14ac:dyDescent="0.25">
      <c r="A17" s="11">
        <f>_xlfn.RANK.EQ(E17,$E$3:$E$90,0)</f>
        <v>14</v>
      </c>
      <c r="B17" s="1" t="str">
        <f>Wedstrijden_beheer!Q1</f>
        <v>Simone</v>
      </c>
      <c r="C17" s="11">
        <f>SUM(Wedstrijden_beheer!R3:'Wedstrijden_beheer'!R194)</f>
        <v>49</v>
      </c>
      <c r="D17" s="11">
        <f>Bonus_beheer!Q17</f>
        <v>0</v>
      </c>
      <c r="E17" s="11">
        <f>C17+D17</f>
        <v>49</v>
      </c>
    </row>
    <row r="18" spans="1:5" ht="18" customHeight="1" x14ac:dyDescent="0.25">
      <c r="A18" s="11">
        <f>_xlfn.RANK.EQ(E18,$E$3:$E$90,0)</f>
        <v>14</v>
      </c>
      <c r="B18" s="1" t="str">
        <f>Wedstrijden_beheer!AS1</f>
        <v>Andre</v>
      </c>
      <c r="C18" s="11">
        <f>SUM(Wedstrijden_beheer!R4:'Wedstrijden_beheer'!R195)</f>
        <v>49</v>
      </c>
      <c r="D18" s="11">
        <f>Bonus_beheer!Q18</f>
        <v>0</v>
      </c>
      <c r="E18" s="11">
        <f>C18+D18</f>
        <v>49</v>
      </c>
    </row>
    <row r="19" spans="1:5" ht="18" customHeight="1" x14ac:dyDescent="0.25">
      <c r="A19" s="11">
        <f>_xlfn.RANK.EQ(E19,$E$3:$E$90,0)</f>
        <v>17</v>
      </c>
      <c r="B19" s="1" t="str">
        <f>Wedstrijden_beheer!AG1</f>
        <v>Erwin</v>
      </c>
      <c r="C19" s="11">
        <f>SUM(Wedstrijden_beheer!AH3:'Wedstrijden_beheer'!AH194)</f>
        <v>47</v>
      </c>
      <c r="D19" s="11">
        <f>Bonus_beheer!AG17</f>
        <v>0</v>
      </c>
      <c r="E19" s="11">
        <f>C19+D19</f>
        <v>47</v>
      </c>
    </row>
    <row r="20" spans="1:5" ht="18" customHeight="1" x14ac:dyDescent="0.25">
      <c r="A20" s="11">
        <f>_xlfn.RANK.EQ(E20,$E$3:$E$90,0)</f>
        <v>18</v>
      </c>
      <c r="B20" s="1" t="str">
        <f>Wedstrijden_beheer!W1</f>
        <v>Jos</v>
      </c>
      <c r="C20" s="11">
        <f>SUM(Wedstrijden_beheer!X3:'Wedstrijden_beheer'!X194)</f>
        <v>46</v>
      </c>
      <c r="D20" s="11">
        <f>Bonus_beheer!W17</f>
        <v>0</v>
      </c>
      <c r="E20" s="11">
        <f>C20+D20</f>
        <v>46</v>
      </c>
    </row>
    <row r="21" spans="1:5" ht="18" customHeight="1" x14ac:dyDescent="0.25">
      <c r="A21" s="11">
        <f>_xlfn.RANK.EQ(E21,$E$3:$E$90,0)</f>
        <v>18</v>
      </c>
      <c r="B21" s="1" t="str">
        <f>Wedstrijden_beheer!AI1</f>
        <v>Tim</v>
      </c>
      <c r="C21" s="11">
        <f>SUM(Wedstrijden_beheer!AJ3:'Wedstrijden_beheer'!AJ194)</f>
        <v>46</v>
      </c>
      <c r="D21" s="11">
        <f>Bonus_beheer!AI17</f>
        <v>0</v>
      </c>
      <c r="E21" s="11">
        <f>C21+D21</f>
        <v>46</v>
      </c>
    </row>
    <row r="22" spans="1:5" ht="18" customHeight="1" x14ac:dyDescent="0.25">
      <c r="A22" s="11">
        <f>_xlfn.RANK.EQ(E22,$E$3:$E$90,0)</f>
        <v>20</v>
      </c>
      <c r="B22" s="1" t="str">
        <f>Wedstrijden_beheer!AM1</f>
        <v>Kristel</v>
      </c>
      <c r="C22" s="11">
        <f>SUM(Wedstrijden_beheer!AN3:'Wedstrijden_beheer'!AN194)</f>
        <v>42</v>
      </c>
      <c r="D22" s="11">
        <f>Bonus_beheer!AM17</f>
        <v>0</v>
      </c>
      <c r="E22" s="11">
        <f>C22+D22</f>
        <v>42</v>
      </c>
    </row>
    <row r="23" spans="1:5" x14ac:dyDescent="0.25">
      <c r="A23" s="11">
        <f>_xlfn.RANK.EQ(E23,$E$3:$E$90,0)</f>
        <v>20</v>
      </c>
      <c r="B23" s="1" t="str">
        <f>Wedstrijden_beheer!AC1</f>
        <v>Ron</v>
      </c>
      <c r="C23" s="11">
        <f>SUM(Wedstrijden_beheer!AD3:'Wedstrijden_beheer'!AD194)</f>
        <v>42</v>
      </c>
      <c r="D23" s="11">
        <f>Bonus_beheer!AC17</f>
        <v>0</v>
      </c>
      <c r="E23" s="11">
        <f>C23+D23</f>
        <v>42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40</v>
      </c>
      <c r="D24" s="11">
        <f>Bonus_beheer!K17</f>
        <v>0</v>
      </c>
      <c r="E24" s="11">
        <f>C24+D24</f>
        <v>40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290</v>
      </c>
      <c r="B1" s="17"/>
    </row>
    <row r="2" spans="1:2" ht="18" customHeight="1" x14ac:dyDescent="0.25">
      <c r="A2" s="16" t="s">
        <v>291</v>
      </c>
      <c r="B2" s="16" t="s">
        <v>292</v>
      </c>
    </row>
    <row r="3" spans="1:2" ht="18" customHeight="1" x14ac:dyDescent="0.25">
      <c r="A3" s="1" t="s">
        <v>293</v>
      </c>
      <c r="B3" s="1" t="s">
        <v>294</v>
      </c>
    </row>
    <row r="4" spans="1:2" ht="18" customHeight="1" x14ac:dyDescent="0.25">
      <c r="A4" s="1" t="s">
        <v>295</v>
      </c>
      <c r="B4" s="1" t="s">
        <v>294</v>
      </c>
    </row>
    <row r="5" spans="1:2" ht="18" customHeight="1" x14ac:dyDescent="0.25">
      <c r="A5" s="1" t="s">
        <v>296</v>
      </c>
      <c r="B5" s="1" t="s">
        <v>297</v>
      </c>
    </row>
    <row r="6" spans="1:2" ht="18" customHeight="1" x14ac:dyDescent="0.25">
      <c r="A6" s="1" t="s">
        <v>298</v>
      </c>
      <c r="B6" s="1" t="s">
        <v>299</v>
      </c>
    </row>
    <row r="7" spans="1:2" ht="18" customHeight="1" x14ac:dyDescent="0.25">
      <c r="A7" s="1" t="s">
        <v>300</v>
      </c>
      <c r="B7" s="1" t="s">
        <v>301</v>
      </c>
    </row>
    <row r="8" spans="1:2" ht="18" customHeight="1" x14ac:dyDescent="0.25">
      <c r="A8" s="1" t="s">
        <v>302</v>
      </c>
      <c r="B8" s="1" t="s">
        <v>303</v>
      </c>
    </row>
    <row r="9" spans="1:2" ht="18" customHeight="1" x14ac:dyDescent="0.2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291</v>
      </c>
      <c r="B2" s="16" t="s">
        <v>28</v>
      </c>
      <c r="C2" s="16" t="s">
        <v>307</v>
      </c>
    </row>
    <row r="3" spans="1:44" ht="18" customHeight="1" x14ac:dyDescent="0.25">
      <c r="A3" s="1" t="s">
        <v>308</v>
      </c>
      <c r="B3" s="1">
        <v>10</v>
      </c>
      <c r="C3" s="1" t="s">
        <v>309</v>
      </c>
    </row>
    <row r="4" spans="1:44" ht="18" customHeight="1" x14ac:dyDescent="0.25">
      <c r="A4" s="1" t="s">
        <v>310</v>
      </c>
      <c r="B4" s="1">
        <v>5</v>
      </c>
      <c r="C4" s="1" t="s">
        <v>311</v>
      </c>
    </row>
    <row r="5" spans="1:44" ht="18" customHeight="1" x14ac:dyDescent="0.25">
      <c r="A5" s="1" t="s">
        <v>312</v>
      </c>
      <c r="B5" s="1">
        <v>2</v>
      </c>
      <c r="C5" s="1" t="s">
        <v>313</v>
      </c>
    </row>
    <row r="6" spans="1:44" ht="18" customHeight="1" x14ac:dyDescent="0.25">
      <c r="A6" s="1" t="s">
        <v>314</v>
      </c>
      <c r="B6" s="1">
        <v>2</v>
      </c>
      <c r="C6" s="1" t="s">
        <v>315</v>
      </c>
    </row>
    <row r="7" spans="1:44" ht="18" customHeight="1" x14ac:dyDescent="0.25">
      <c r="A7" s="1" t="s">
        <v>316</v>
      </c>
      <c r="B7" s="1">
        <v>2</v>
      </c>
      <c r="C7" s="1" t="s">
        <v>317</v>
      </c>
    </row>
    <row r="8" spans="1:44" ht="18" customHeight="1" x14ac:dyDescent="0.2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D11" sqref="D11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319</v>
      </c>
      <c r="B1" s="26" t="s">
        <v>320</v>
      </c>
      <c r="C1" s="26" t="s">
        <v>321</v>
      </c>
    </row>
    <row r="2" spans="1:3" x14ac:dyDescent="0.25">
      <c r="A2" t="s">
        <v>322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323</v>
      </c>
      <c r="C5" t="s">
        <v>324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7c2036e6-2c6c-4cc0-93d3-66cc911cb074"/>
    <ds:schemaRef ds:uri="http://schemas.microsoft.com/office/2006/metadata/properties"/>
    <ds:schemaRef ds:uri="http://purl.org/dc/dcmitype/"/>
    <ds:schemaRef ds:uri="http://purl.org/dc/terms/"/>
    <ds:schemaRef ds:uri="http://purl.org/dc/elements/1.1/"/>
    <ds:schemaRef ds:uri="7b90d758-d430-4ffd-9227-0f539ac488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2026-06-16T05:40:46Z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