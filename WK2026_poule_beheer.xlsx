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504" documentId="8_{E82BF418-5EC5-4A9D-9227-B9F99AE92E74}" xr6:coauthVersionLast="47" xr6:coauthVersionMax="47" xr10:uidLastSave="{F85EAEB5-B1BB-4644-AB6A-3227D00E60B4}"/>
  <bookViews>
    <workbookView xWindow="-120" yWindow="-120" windowWidth="29040" windowHeight="15720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2" i="1"/>
  <c r="AT53" i="1"/>
  <c r="AT54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17" i="3"/>
  <c r="D17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2" i="1"/>
  <c r="AV53" i="1"/>
  <c r="AV54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16" i="3"/>
  <c r="B3" i="3"/>
  <c r="B7" i="3"/>
  <c r="B8" i="3"/>
  <c r="B20" i="3"/>
  <c r="B18" i="3"/>
  <c r="B14" i="3"/>
  <c r="B12" i="3"/>
  <c r="B15" i="3"/>
  <c r="B19" i="3"/>
  <c r="B24" i="3"/>
  <c r="B21" i="3"/>
  <c r="B23" i="3"/>
  <c r="B13" i="3"/>
  <c r="D13" i="3"/>
  <c r="B11" i="3"/>
  <c r="B4" i="3"/>
  <c r="B10" i="3"/>
  <c r="B22" i="3"/>
  <c r="B5" i="3"/>
  <c r="B6" i="3"/>
  <c r="B9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T48" i="1" l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2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16" i="3" s="1"/>
  <c r="AK17" i="2"/>
  <c r="D7" i="3" s="1"/>
  <c r="AM17" i="2"/>
  <c r="D23" i="3" s="1"/>
  <c r="AI17" i="2"/>
  <c r="D21" i="3" s="1"/>
  <c r="AO17" i="2"/>
  <c r="D19" i="3" s="1"/>
  <c r="AA17" i="2"/>
  <c r="D4" i="3" s="1"/>
  <c r="AC17" i="2"/>
  <c r="D22" i="3" s="1"/>
  <c r="AE17" i="2"/>
  <c r="D5" i="3" s="1"/>
  <c r="AG17" i="2"/>
  <c r="D14" i="3" s="1"/>
  <c r="E17" i="2"/>
  <c r="D15" i="3" s="1"/>
  <c r="I17" i="2"/>
  <c r="D9" i="3" s="1"/>
  <c r="K17" i="2"/>
  <c r="D24" i="3" s="1"/>
  <c r="M17" i="2"/>
  <c r="D10" i="3" s="1"/>
  <c r="G17" i="2"/>
  <c r="D6" i="3" s="1"/>
  <c r="O17" i="2"/>
  <c r="D3" i="3" s="1"/>
  <c r="S17" i="2"/>
  <c r="D18" i="3" s="1"/>
  <c r="U17" i="2"/>
  <c r="D8" i="3" s="1"/>
  <c r="W17" i="2"/>
  <c r="D20" i="3" s="1"/>
  <c r="Y17" i="2"/>
  <c r="D11" i="3" s="1"/>
  <c r="C12" i="3" l="1"/>
  <c r="E12" i="3" s="1"/>
  <c r="C13" i="3"/>
  <c r="E13" i="3" s="1"/>
  <c r="C16" i="3"/>
  <c r="E16" i="3" s="1"/>
  <c r="C17" i="3"/>
  <c r="E17" i="3" s="1"/>
  <c r="C19" i="3"/>
  <c r="E19" i="3" s="1"/>
  <c r="C22" i="3"/>
  <c r="E22" i="3" s="1"/>
  <c r="C18" i="3"/>
  <c r="E18" i="3" s="1"/>
  <c r="C5" i="3"/>
  <c r="E5" i="3" s="1"/>
  <c r="C3" i="3"/>
  <c r="E3" i="3" s="1"/>
  <c r="C10" i="3"/>
  <c r="E10" i="3" s="1"/>
  <c r="C21" i="3"/>
  <c r="E21" i="3" s="1"/>
  <c r="C15" i="3"/>
  <c r="E15" i="3" s="1"/>
  <c r="C20" i="3"/>
  <c r="E20" i="3" s="1"/>
  <c r="C24" i="3"/>
  <c r="E24" i="3" s="1"/>
  <c r="C7" i="3"/>
  <c r="E7" i="3" s="1"/>
  <c r="C4" i="3"/>
  <c r="E4" i="3" s="1"/>
  <c r="C6" i="3"/>
  <c r="E6" i="3" s="1"/>
  <c r="C11" i="3"/>
  <c r="E11" i="3" s="1"/>
  <c r="C9" i="3"/>
  <c r="E9" i="3" s="1"/>
  <c r="C23" i="3"/>
  <c r="E23" i="3" s="1"/>
  <c r="C8" i="3"/>
  <c r="E8" i="3" s="1"/>
  <c r="C14" i="3"/>
  <c r="E14" i="3" s="1"/>
  <c r="A17" i="3" l="1"/>
  <c r="A23" i="3"/>
  <c r="A9" i="3"/>
  <c r="A13" i="3"/>
  <c r="A14" i="3"/>
  <c r="A15" i="3"/>
  <c r="A11" i="3"/>
  <c r="A24" i="3"/>
  <c r="A3" i="3"/>
  <c r="A19" i="3"/>
  <c r="A21" i="3"/>
  <c r="A8" i="3"/>
  <c r="A10" i="3"/>
  <c r="A6" i="3"/>
  <c r="A16" i="3"/>
  <c r="A18" i="3"/>
  <c r="A20" i="3"/>
  <c r="A7" i="3"/>
  <c r="A5" i="3"/>
  <c r="A22" i="3"/>
  <c r="A4" i="3"/>
  <c r="A12" i="3"/>
</calcChain>
</file>

<file path=xl/sharedStrings.xml><?xml version="1.0" encoding="utf-8"?>
<sst xmlns="http://schemas.openxmlformats.org/spreadsheetml/2006/main" count="2332" uniqueCount="330">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</sst>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O26" activePane="bottomRight" state="frozen"/>
      <selection pane="topRight"/>
      <selection pane="bottomLeft"/>
      <selection pane="bottomRight" activeCell="D49" sqref="D49"/>
    </sheetView>
  </sheetViews>
  <sheetFormatPr defaultRowHeight="15" x14ac:dyDescent="0.25"/>
  <cols>
    <col min="1" max="1" width="10.5703125" customWidth="1"/>
    <col min="2" max="2" width="20.5703125" style="19" customWidth="1"/>
    <col min="3" max="3" width="10.5703125" customWidth="1"/>
    <col min="4" max="4" width="20.5703125" style="20" customWidth="1"/>
    <col min="5" max="5" width="12.5703125" style="23" customWidth="1"/>
    <col min="6" max="6" width="8.5703125" customWidth="1"/>
    <col min="7" max="7" width="12.5703125" style="23" customWidth="1"/>
    <col min="8" max="8" width="8.5703125" customWidth="1"/>
    <col min="9" max="9" width="12.5703125" style="23" customWidth="1"/>
    <col min="10" max="10" width="8.5703125" customWidth="1"/>
    <col min="11" max="11" width="12.5703125" style="23" customWidth="1"/>
    <col min="12" max="12" width="8.5703125" customWidth="1"/>
    <col min="13" max="13" width="12.5703125" style="23" customWidth="1"/>
    <col min="14" max="14" width="8.5703125" customWidth="1"/>
    <col min="15" max="15" width="12.5703125" style="23" customWidth="1"/>
    <col min="16" max="16" width="8.5703125" customWidth="1"/>
    <col min="17" max="17" width="12.5703125" style="23" customWidth="1"/>
    <col min="18" max="18" width="8.5703125" customWidth="1"/>
    <col min="19" max="19" width="12.5703125" style="23" customWidth="1"/>
    <col min="20" max="20" width="8.5703125" customWidth="1"/>
    <col min="21" max="21" width="12.5703125" customWidth="1"/>
    <col min="22" max="22" width="8.5703125" customWidth="1"/>
    <col min="23" max="23" width="12.5703125" style="23" customWidth="1"/>
    <col min="24" max="24" width="8.5703125" customWidth="1"/>
    <col min="25" max="25" width="12.5703125" style="23" customWidth="1"/>
    <col min="26" max="26" width="8.5703125" customWidth="1"/>
    <col min="27" max="27" width="12.5703125" style="23" customWidth="1"/>
    <col min="28" max="28" width="8.5703125" customWidth="1"/>
    <col min="29" max="29" width="12.5703125" style="23" customWidth="1"/>
    <col min="30" max="30" width="8.5703125" customWidth="1"/>
    <col min="31" max="31" width="12.5703125" style="23" customWidth="1"/>
    <col min="32" max="32" width="8.5703125" customWidth="1"/>
    <col min="33" max="33" width="12.5703125" style="23" customWidth="1"/>
    <col min="34" max="34" width="8.5703125" customWidth="1"/>
    <col min="35" max="35" width="12.5703125" style="23" customWidth="1"/>
    <col min="36" max="36" width="8.5703125" customWidth="1"/>
    <col min="37" max="37" width="12.5703125" style="23" customWidth="1"/>
    <col min="38" max="38" width="8.5703125" customWidth="1"/>
    <col min="39" max="39" width="12.5703125" style="23" customWidth="1"/>
    <col min="40" max="40" width="8.5703125" customWidth="1"/>
    <col min="41" max="41" width="15.5703125" style="23" customWidth="1"/>
    <col min="42" max="42" width="8.5703125" customWidth="1"/>
    <col min="43" max="43" width="15.5703125" style="23" customWidth="1"/>
    <col min="44" max="44" width="8.5703125" customWidth="1"/>
    <col min="45" max="45" width="15.7109375" style="23" customWidth="1"/>
    <col min="46" max="46" width="8.5703125" customWidth="1"/>
    <col min="47" max="47" width="15.5703125" style="23" customWidth="1"/>
    <col min="48" max="48" width="8.5703125" customWidth="1"/>
    <col min="49" max="50" width="13" hidden="1" customWidth="1"/>
  </cols>
  <sheetData>
    <row r="1" spans="1:50" x14ac:dyDescent="0.25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25">
      <c r="A2" s="41"/>
      <c r="B2" s="42"/>
      <c r="C2" s="41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00000000000001" customHeight="1" x14ac:dyDescent="0.2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2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2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2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2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2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2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2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2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2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2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2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2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2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2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2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2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2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/>
      </c>
      <c r="G49" s="10" t="s">
        <v>39</v>
      </c>
      <c r="H49" s="11" t="str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/>
      </c>
      <c r="I49" s="10" t="s">
        <v>39</v>
      </c>
      <c r="J49" s="11" t="str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/>
      </c>
      <c r="K49" s="10" t="s">
        <v>33</v>
      </c>
      <c r="L49" s="11" t="str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/>
      </c>
      <c r="M49" s="10" t="s">
        <v>37</v>
      </c>
      <c r="N49" s="11" t="str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/>
      </c>
      <c r="O49" s="10" t="s">
        <v>33</v>
      </c>
      <c r="P49" s="11" t="str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/>
      </c>
      <c r="Q49" s="10" t="s">
        <v>35</v>
      </c>
      <c r="R49" s="11" t="str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/>
      </c>
      <c r="S49" s="10" t="s">
        <v>34</v>
      </c>
      <c r="T49" s="11" t="str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/>
      </c>
      <c r="U49" s="10" t="s">
        <v>36</v>
      </c>
      <c r="V49" s="11" t="str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/>
      </c>
      <c r="W49" s="10" t="s">
        <v>33</v>
      </c>
      <c r="X49" s="11" t="str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/>
      </c>
      <c r="Y49" s="10" t="s">
        <v>36</v>
      </c>
      <c r="Z49" s="11" t="str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/>
      </c>
      <c r="AA49" s="10" t="s">
        <v>34</v>
      </c>
      <c r="AB49" s="11" t="str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/>
      </c>
      <c r="AC49" s="10" t="s">
        <v>48</v>
      </c>
      <c r="AD49" s="11" t="str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/>
      </c>
      <c r="AE49" s="10" t="s">
        <v>33</v>
      </c>
      <c r="AF49" s="11" t="str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/>
      </c>
      <c r="AG49" s="10" t="s">
        <v>33</v>
      </c>
      <c r="AH49" s="11" t="str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/>
      </c>
      <c r="AI49" s="10" t="s">
        <v>35</v>
      </c>
      <c r="AJ49" s="11" t="str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/>
      </c>
      <c r="AK49" s="10" t="s">
        <v>39</v>
      </c>
      <c r="AL49" s="11" t="str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/>
      </c>
      <c r="AM49" s="10" t="s">
        <v>39</v>
      </c>
      <c r="AN49" s="11" t="str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/>
      </c>
      <c r="AO49" s="10" t="s">
        <v>39</v>
      </c>
      <c r="AP49" s="11" t="str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/>
      </c>
      <c r="AQ49" s="10" t="s">
        <v>49</v>
      </c>
      <c r="AR49" s="11" t="str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/>
      </c>
      <c r="AS49" s="10" t="s">
        <v>37</v>
      </c>
      <c r="AT49" s="11" t="str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/>
      </c>
      <c r="AU49" s="10" t="s">
        <v>50</v>
      </c>
      <c r="AV49" s="11" t="str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/>
      </c>
      <c r="AW49" s="11" t="str">
        <f>IF($C49="","",IFERROR(--LEFT($C49,FIND("-",$C49)-1),""))</f>
        <v/>
      </c>
      <c r="AX49" s="11" t="str">
        <f>IF($C49="","",IFERROR(--MID($C49,FIND("-",$C49)+1,99),""))</f>
        <v/>
      </c>
    </row>
    <row r="50" spans="1:50" ht="18" customHeight="1" x14ac:dyDescent="0.2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2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25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/>
      </c>
      <c r="G52" s="10" t="s">
        <v>57</v>
      </c>
      <c r="H52" s="11" t="str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/>
      </c>
      <c r="I52" s="10" t="s">
        <v>48</v>
      </c>
      <c r="J52" s="11" t="str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/>
      </c>
      <c r="K52" s="10" t="s">
        <v>49</v>
      </c>
      <c r="L52" s="11" t="str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/>
      </c>
      <c r="M52" s="10" t="s">
        <v>57</v>
      </c>
      <c r="N52" s="11" t="str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/>
      </c>
      <c r="O52" s="10" t="s">
        <v>37</v>
      </c>
      <c r="P52" s="11" t="str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/>
      </c>
      <c r="Q52" s="10" t="s">
        <v>36</v>
      </c>
      <c r="R52" s="11" t="str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/>
      </c>
      <c r="S52" s="10" t="s">
        <v>49</v>
      </c>
      <c r="T52" s="11" t="str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/>
      </c>
      <c r="U52" s="10" t="s">
        <v>35</v>
      </c>
      <c r="V52" s="11" t="str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/>
      </c>
      <c r="W52" s="10" t="s">
        <v>45</v>
      </c>
      <c r="X52" s="11" t="str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/>
      </c>
      <c r="Y52" s="10" t="s">
        <v>56</v>
      </c>
      <c r="Z52" s="11" t="str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/>
      </c>
      <c r="AA52" s="10" t="s">
        <v>48</v>
      </c>
      <c r="AB52" s="11" t="str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/>
      </c>
      <c r="AC52" s="10" t="s">
        <v>57</v>
      </c>
      <c r="AD52" s="11" t="str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/>
      </c>
      <c r="AE52" s="10" t="s">
        <v>35</v>
      </c>
      <c r="AF52" s="11" t="str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/>
      </c>
      <c r="AG52" s="10" t="s">
        <v>37</v>
      </c>
      <c r="AH52" s="11" t="str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/>
      </c>
      <c r="AI52" s="10" t="s">
        <v>39</v>
      </c>
      <c r="AJ52" s="11" t="str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/>
      </c>
      <c r="AK52" s="10" t="s">
        <v>63</v>
      </c>
      <c r="AL52" s="11" t="str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/>
      </c>
      <c r="AM52" s="10" t="s">
        <v>57</v>
      </c>
      <c r="AN52" s="11" t="str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/>
      </c>
      <c r="AO52" s="10" t="s">
        <v>57</v>
      </c>
      <c r="AP52" s="11" t="str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/>
      </c>
      <c r="AQ52" s="10" t="s">
        <v>57</v>
      </c>
      <c r="AR52" s="11" t="str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/>
      </c>
      <c r="AS52" s="10" t="s">
        <v>35</v>
      </c>
      <c r="AT52" s="11" t="str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/>
      </c>
      <c r="AU52" s="10" t="s">
        <v>35</v>
      </c>
      <c r="AV52" s="11" t="str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/>
      </c>
      <c r="AW52" s="11" t="str">
        <f>IF($C52="","",IFERROR(--LEFT($C52,FIND("-",$C52)-1),""))</f>
        <v/>
      </c>
      <c r="AX52" s="11" t="str">
        <f>IF($C52="","",IFERROR(--MID($C52,FIND("-",$C52)+1,99),""))</f>
        <v/>
      </c>
    </row>
    <row r="53" spans="1:50" ht="18" customHeight="1" x14ac:dyDescent="0.25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/>
      </c>
      <c r="G53" s="10" t="s">
        <v>112</v>
      </c>
      <c r="H53" s="11" t="str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/>
      </c>
      <c r="I53" s="10" t="s">
        <v>36</v>
      </c>
      <c r="J53" s="11" t="str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/>
      </c>
      <c r="K53" s="10" t="s">
        <v>71</v>
      </c>
      <c r="L53" s="11" t="str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/>
      </c>
      <c r="M53" s="10" t="s">
        <v>38</v>
      </c>
      <c r="N53" s="11" t="str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/>
      </c>
      <c r="O53" s="10" t="s">
        <v>38</v>
      </c>
      <c r="P53" s="11" t="str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/>
      </c>
      <c r="Q53" s="10" t="s">
        <v>63</v>
      </c>
      <c r="R53" s="11" t="str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/>
      </c>
      <c r="S53" s="10" t="s">
        <v>63</v>
      </c>
      <c r="T53" s="11" t="str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/>
      </c>
      <c r="U53" s="10" t="s">
        <v>38</v>
      </c>
      <c r="V53" s="11" t="str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/>
      </c>
      <c r="W53" s="10" t="s">
        <v>38</v>
      </c>
      <c r="X53" s="11" t="str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/>
      </c>
      <c r="Y53" s="10" t="s">
        <v>38</v>
      </c>
      <c r="Z53" s="11" t="str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/>
      </c>
      <c r="AA53" s="10" t="s">
        <v>63</v>
      </c>
      <c r="AB53" s="11" t="str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/>
      </c>
      <c r="AC53" s="10" t="s">
        <v>38</v>
      </c>
      <c r="AD53" s="11" t="str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/>
      </c>
      <c r="AE53" s="10" t="s">
        <v>63</v>
      </c>
      <c r="AF53" s="11" t="str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/>
      </c>
      <c r="AG53" s="10" t="s">
        <v>38</v>
      </c>
      <c r="AH53" s="11" t="str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/>
      </c>
      <c r="AI53" s="10" t="s">
        <v>63</v>
      </c>
      <c r="AJ53" s="11" t="str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/>
      </c>
      <c r="AK53" s="10" t="s">
        <v>34</v>
      </c>
      <c r="AL53" s="11" t="str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/>
      </c>
      <c r="AM53" s="10" t="s">
        <v>38</v>
      </c>
      <c r="AN53" s="11" t="str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/>
      </c>
      <c r="AO53" s="10" t="s">
        <v>38</v>
      </c>
      <c r="AP53" s="11" t="str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/>
      </c>
      <c r="AQ53" s="10" t="s">
        <v>61</v>
      </c>
      <c r="AR53" s="11" t="str">
        <f t="shared" si="4"/>
        <v/>
      </c>
      <c r="AS53" s="10" t="s">
        <v>71</v>
      </c>
      <c r="AT53" s="11" t="str">
        <f t="shared" si="5"/>
        <v/>
      </c>
      <c r="AU53" s="10" t="s">
        <v>43</v>
      </c>
      <c r="AV53" s="11" t="str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/>
      </c>
      <c r="AW53" s="11" t="str">
        <f>IF($C53="","",IFERROR(--LEFT($C53,FIND("-",$C53)-1),""))</f>
        <v/>
      </c>
      <c r="AX53" s="11" t="str">
        <f>IF($C53="","",IFERROR(--MID($C53,FIND("-",$C53)+1,99),""))</f>
        <v/>
      </c>
    </row>
    <row r="54" spans="1:50" ht="18" customHeight="1" x14ac:dyDescent="0.25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/>
      </c>
      <c r="G54" s="10" t="s">
        <v>33</v>
      </c>
      <c r="H54" s="11" t="str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/>
      </c>
      <c r="I54" s="10" t="s">
        <v>33</v>
      </c>
      <c r="J54" s="11" t="str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/>
      </c>
      <c r="K54" s="10" t="s">
        <v>37</v>
      </c>
      <c r="L54" s="11" t="str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/>
      </c>
      <c r="M54" s="10" t="s">
        <v>49</v>
      </c>
      <c r="N54" s="11" t="str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/>
      </c>
      <c r="O54" s="10" t="s">
        <v>35</v>
      </c>
      <c r="P54" s="11" t="str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/>
      </c>
      <c r="Q54" s="10" t="s">
        <v>43</v>
      </c>
      <c r="R54" s="11" t="str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/>
      </c>
      <c r="S54" s="10" t="s">
        <v>49</v>
      </c>
      <c r="T54" s="11" t="str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/>
      </c>
      <c r="U54" s="10" t="s">
        <v>35</v>
      </c>
      <c r="V54" s="11" t="str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/>
      </c>
      <c r="W54" s="10" t="s">
        <v>35</v>
      </c>
      <c r="X54" s="11" t="str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/>
      </c>
      <c r="Y54" s="10" t="s">
        <v>35</v>
      </c>
      <c r="Z54" s="11" t="str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/>
      </c>
      <c r="AA54" s="10" t="s">
        <v>33</v>
      </c>
      <c r="AB54" s="11" t="str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/>
      </c>
      <c r="AC54" s="10" t="s">
        <v>36</v>
      </c>
      <c r="AD54" s="11" t="str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/>
      </c>
      <c r="AE54" s="10" t="s">
        <v>35</v>
      </c>
      <c r="AF54" s="11" t="str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/>
      </c>
      <c r="AG54" s="10" t="s">
        <v>39</v>
      </c>
      <c r="AH54" s="11" t="str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/>
      </c>
      <c r="AI54" s="10" t="s">
        <v>36</v>
      </c>
      <c r="AJ54" s="11" t="str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/>
      </c>
      <c r="AK54" s="10" t="s">
        <v>33</v>
      </c>
      <c r="AL54" s="11" t="str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/>
      </c>
      <c r="AM54" s="10" t="s">
        <v>39</v>
      </c>
      <c r="AN54" s="11" t="str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/>
      </c>
      <c r="AO54" s="10" t="s">
        <v>35</v>
      </c>
      <c r="AP54" s="11" t="str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/>
      </c>
      <c r="AQ54" s="10" t="s">
        <v>35</v>
      </c>
      <c r="AR54" s="11" t="str">
        <f t="shared" si="4"/>
        <v/>
      </c>
      <c r="AS54" s="10" t="s">
        <v>36</v>
      </c>
      <c r="AT54" s="11" t="str">
        <f t="shared" si="5"/>
        <v/>
      </c>
      <c r="AU54" s="10" t="s">
        <v>45</v>
      </c>
      <c r="AV54" s="11" t="str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/>
      </c>
      <c r="AW54" s="11" t="str">
        <f>IF($C54="","",IFERROR(--LEFT($C54,FIND("-",$C54)-1),""))</f>
        <v/>
      </c>
      <c r="AX54" s="11" t="str">
        <f>IF($C54="","",IFERROR(--MID($C54,FIND("-",$C54)+1,99),""))</f>
        <v/>
      </c>
    </row>
    <row r="55" spans="1:50" ht="18" customHeight="1" x14ac:dyDescent="0.25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25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2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2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25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25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25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25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2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2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25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25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25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25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2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2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25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25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25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25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2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2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25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25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25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25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2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2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25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25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25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25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25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25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2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2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25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25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25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25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2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2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2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2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2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2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2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2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2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2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2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2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2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2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2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2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2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2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2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00000000000001" customHeight="1" x14ac:dyDescent="0.2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2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2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25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2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2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2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25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2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2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2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2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25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2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2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2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2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25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2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2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2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25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2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2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2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2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25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2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2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2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2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25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00000000000001" customHeight="1" x14ac:dyDescent="0.25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2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2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2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25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2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2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25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2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2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2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25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2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2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2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2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2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25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00000000000001" customHeight="1" x14ac:dyDescent="0.25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2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25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2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25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2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25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2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2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25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00000000000001" customHeight="1" x14ac:dyDescent="0.25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2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25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2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2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25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00000000000001" customHeight="1" x14ac:dyDescent="0.25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2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2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25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00000000000001" customHeight="1" x14ac:dyDescent="0.25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2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2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12" sqref="A12:XFD12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3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3" customWidth="1"/>
    <col min="15" max="15" width="10.5703125" customWidth="1"/>
    <col min="16" max="16" width="12.5703125" style="23" customWidth="1"/>
    <col min="17" max="17" width="10.5703125" customWidth="1"/>
    <col min="18" max="18" width="12.5703125" style="23" customWidth="1"/>
    <col min="19" max="19" width="10.5703125" customWidth="1"/>
    <col min="20" max="20" width="12.5703125" customWidth="1"/>
    <col min="21" max="21" width="10.5703125" customWidth="1"/>
    <col min="22" max="22" width="12.5703125" style="23" customWidth="1"/>
    <col min="23" max="23" width="10.5703125" customWidth="1"/>
    <col min="24" max="24" width="12.5703125" style="23" customWidth="1"/>
    <col min="25" max="25" width="10.5703125" customWidth="1"/>
    <col min="26" max="26" width="12.5703125" style="23" customWidth="1"/>
    <col min="27" max="27" width="10.5703125" customWidth="1"/>
    <col min="28" max="28" width="12.5703125" style="23" customWidth="1"/>
    <col min="29" max="29" width="10.5703125" customWidth="1"/>
    <col min="30" max="30" width="12.5703125" style="23" customWidth="1"/>
    <col min="31" max="31" width="10.5703125" customWidth="1"/>
    <col min="32" max="32" width="12.5703125" style="23" customWidth="1"/>
    <col min="33" max="33" width="10.5703125" customWidth="1"/>
    <col min="34" max="34" width="12.5703125" style="23" customWidth="1"/>
    <col min="35" max="35" width="10.5703125" customWidth="1"/>
    <col min="36" max="36" width="12.5703125" style="23" customWidth="1"/>
    <col min="37" max="37" width="10.5703125" customWidth="1"/>
    <col min="38" max="38" width="12.5703125" style="23" customWidth="1"/>
    <col min="39" max="39" width="10.5703125" customWidth="1"/>
    <col min="40" max="40" width="12.5703125" style="23" customWidth="1"/>
    <col min="41" max="41" width="10.5703125" customWidth="1"/>
    <col min="42" max="42" width="12.5703125" customWidth="1"/>
    <col min="43" max="43" width="10.5703125" customWidth="1"/>
    <col min="44" max="44" width="12.5703125" style="23" customWidth="1"/>
    <col min="45" max="45" width="10.5703125" customWidth="1"/>
    <col min="46" max="46" width="12.5703125" style="23" customWidth="1"/>
    <col min="47" max="47" width="10.5703125" customWidth="1"/>
  </cols>
  <sheetData>
    <row r="1" spans="1:47" x14ac:dyDescent="0.2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45" customHeight="1" x14ac:dyDescent="0.2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45" customHeight="1" x14ac:dyDescent="0.2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5" customHeight="1" x14ac:dyDescent="0.2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5" customHeight="1" x14ac:dyDescent="0.2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5" customHeight="1" x14ac:dyDescent="0.25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I11" sqref="I11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7" t="s">
        <v>284</v>
      </c>
      <c r="B1" s="17"/>
      <c r="C1" s="17"/>
      <c r="D1" s="17"/>
      <c r="E1" s="17"/>
    </row>
    <row r="2" spans="1:5" ht="18" customHeight="1" x14ac:dyDescent="0.25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25">
      <c r="A3" s="11">
        <f t="shared" ref="A3:A24" si="0">_xlfn.RANK.EQ(E3,$E$3:$E$90,0)</f>
        <v>1</v>
      </c>
      <c r="B3" s="1" t="str">
        <f>Wedstrijden_beheer!O1</f>
        <v>Maik</v>
      </c>
      <c r="C3" s="11">
        <f>SUM(Wedstrijden_beheer!P3:'Wedstrijden_beheer'!P194)</f>
        <v>136</v>
      </c>
      <c r="D3" s="11">
        <f>Bonus_beheer!O17</f>
        <v>0</v>
      </c>
      <c r="E3" s="11">
        <f t="shared" ref="E3:E24" si="1">C3+D3</f>
        <v>136</v>
      </c>
    </row>
    <row r="4" spans="1:5" ht="18" customHeight="1" x14ac:dyDescent="0.25">
      <c r="A4" s="11">
        <f t="shared" si="0"/>
        <v>3</v>
      </c>
      <c r="B4" s="1" t="str">
        <f>Wedstrijden_beheer!AA1</f>
        <v>Ivo</v>
      </c>
      <c r="C4" s="11">
        <f>SUM(Wedstrijden_beheer!AB3:'Wedstrijden_beheer'!AB194)</f>
        <v>120</v>
      </c>
      <c r="D4" s="11">
        <f>Bonus_beheer!AA17</f>
        <v>0</v>
      </c>
      <c r="E4" s="11">
        <f t="shared" si="1"/>
        <v>120</v>
      </c>
    </row>
    <row r="5" spans="1:5" ht="18" customHeight="1" x14ac:dyDescent="0.25">
      <c r="A5" s="11">
        <f t="shared" si="0"/>
        <v>2</v>
      </c>
      <c r="B5" s="1" t="str">
        <f>Wedstrijden_beheer!AE1</f>
        <v>Jeroen</v>
      </c>
      <c r="C5" s="11">
        <f>SUM(Wedstrijden_beheer!AF3:'Wedstrijden_beheer'!AF194)</f>
        <v>123</v>
      </c>
      <c r="D5" s="11">
        <f>Bonus_beheer!AE17</f>
        <v>0</v>
      </c>
      <c r="E5" s="11">
        <f t="shared" si="1"/>
        <v>123</v>
      </c>
    </row>
    <row r="6" spans="1:5" ht="18" customHeight="1" x14ac:dyDescent="0.25">
      <c r="A6" s="11">
        <f t="shared" si="0"/>
        <v>5</v>
      </c>
      <c r="B6" s="1" t="str">
        <f>Wedstrijden_beheer!G1</f>
        <v>Nikki</v>
      </c>
      <c r="C6" s="11">
        <f>SUM(Wedstrijden_beheer!H3:'Wedstrijden_beheer'!H194)</f>
        <v>118</v>
      </c>
      <c r="D6" s="11">
        <f>Bonus_beheer!G17</f>
        <v>0</v>
      </c>
      <c r="E6" s="11">
        <f t="shared" si="1"/>
        <v>118</v>
      </c>
    </row>
    <row r="7" spans="1:5" ht="18" customHeight="1" x14ac:dyDescent="0.25">
      <c r="A7" s="11">
        <f t="shared" si="0"/>
        <v>5</v>
      </c>
      <c r="B7" s="1" t="str">
        <f>Wedstrijden_beheer!AK1</f>
        <v>Kim</v>
      </c>
      <c r="C7" s="11">
        <f>SUM(Wedstrijden_beheer!AL3:'Wedstrijden_beheer'!AL194)</f>
        <v>118</v>
      </c>
      <c r="D7" s="11">
        <f>Bonus_beheer!AK17</f>
        <v>0</v>
      </c>
      <c r="E7" s="11">
        <f t="shared" si="1"/>
        <v>118</v>
      </c>
    </row>
    <row r="8" spans="1:5" ht="18" customHeight="1" x14ac:dyDescent="0.25">
      <c r="A8" s="11">
        <f t="shared" si="0"/>
        <v>7</v>
      </c>
      <c r="B8" s="1" t="str">
        <f>Wedstrijden_beheer!U1</f>
        <v>Tom</v>
      </c>
      <c r="C8" s="11">
        <f>SUM(Wedstrijden_beheer!V3:'Wedstrijden_beheer'!V194)</f>
        <v>114</v>
      </c>
      <c r="D8" s="11">
        <f>Bonus_beheer!U17</f>
        <v>0</v>
      </c>
      <c r="E8" s="11">
        <f t="shared" si="1"/>
        <v>114</v>
      </c>
    </row>
    <row r="9" spans="1:5" ht="18" customHeight="1" x14ac:dyDescent="0.25">
      <c r="A9" s="11">
        <f t="shared" si="0"/>
        <v>4</v>
      </c>
      <c r="B9" s="1" t="str">
        <f>Wedstrijden_beheer!I1</f>
        <v>Abdussamed</v>
      </c>
      <c r="C9" s="11">
        <f>SUM(Wedstrijden_beheer!J3:'Wedstrijden_beheer'!J194)</f>
        <v>119</v>
      </c>
      <c r="D9" s="11">
        <f>Bonus_beheer!I17</f>
        <v>0</v>
      </c>
      <c r="E9" s="11">
        <f t="shared" si="1"/>
        <v>119</v>
      </c>
    </row>
    <row r="10" spans="1:5" ht="18" customHeight="1" x14ac:dyDescent="0.25">
      <c r="A10" s="11">
        <f t="shared" si="0"/>
        <v>14</v>
      </c>
      <c r="B10" s="1" t="str">
        <f>Wedstrijden_beheer!M1</f>
        <v>Bas</v>
      </c>
      <c r="C10" s="11">
        <f>SUM(Wedstrijden_beheer!N3:'Wedstrijden_beheer'!N194)</f>
        <v>107</v>
      </c>
      <c r="D10" s="11">
        <f>Bonus_beheer!M17</f>
        <v>0</v>
      </c>
      <c r="E10" s="11">
        <f t="shared" si="1"/>
        <v>107</v>
      </c>
    </row>
    <row r="11" spans="1:5" ht="18" customHeight="1" x14ac:dyDescent="0.25">
      <c r="A11" s="11">
        <f t="shared" si="0"/>
        <v>7</v>
      </c>
      <c r="B11" s="1" t="str">
        <f>Wedstrijden_beheer!Y1</f>
        <v>Lesley</v>
      </c>
      <c r="C11" s="11">
        <f>SUM(Wedstrijden_beheer!Z3:'Wedstrijden_beheer'!Z194)</f>
        <v>114</v>
      </c>
      <c r="D11" s="11">
        <f>Bonus_beheer!Y17</f>
        <v>0</v>
      </c>
      <c r="E11" s="11">
        <f t="shared" si="1"/>
        <v>114</v>
      </c>
    </row>
    <row r="12" spans="1:5" ht="18" customHeight="1" x14ac:dyDescent="0.25">
      <c r="A12" s="11">
        <f t="shared" si="0"/>
        <v>11</v>
      </c>
      <c r="B12" s="1" t="str">
        <f>Wedstrijden_beheer!AU1</f>
        <v>Raymond</v>
      </c>
      <c r="C12" s="11">
        <f>SUM(Wedstrijden_beheer!AV3:'Wedstrijden_beheer'!AV194)</f>
        <v>110</v>
      </c>
      <c r="D12" s="11">
        <f>Bonus_beheer!AU17</f>
        <v>0</v>
      </c>
      <c r="E12" s="11">
        <f t="shared" si="1"/>
        <v>110</v>
      </c>
    </row>
    <row r="13" spans="1:5" ht="18" customHeight="1" x14ac:dyDescent="0.25">
      <c r="A13" s="11">
        <f t="shared" si="0"/>
        <v>11</v>
      </c>
      <c r="B13" s="1" t="str">
        <f>Wedstrijden_beheer!AQ1</f>
        <v>Jeno</v>
      </c>
      <c r="C13" s="11">
        <f>SUM(Wedstrijden_beheer!AV4:'Wedstrijden_beheer'!AV195)</f>
        <v>110</v>
      </c>
      <c r="D13" s="11">
        <f>Bonus_beheer!AU18</f>
        <v>0</v>
      </c>
      <c r="E13" s="11">
        <f t="shared" si="1"/>
        <v>110</v>
      </c>
    </row>
    <row r="14" spans="1:5" ht="18" customHeight="1" x14ac:dyDescent="0.25">
      <c r="A14" s="11">
        <f t="shared" si="0"/>
        <v>7</v>
      </c>
      <c r="B14" s="1" t="str">
        <f>Wedstrijden_beheer!AG1</f>
        <v>Erwin</v>
      </c>
      <c r="C14" s="11">
        <f>SUM(Wedstrijden_beheer!AH3:'Wedstrijden_beheer'!AH194)</f>
        <v>114</v>
      </c>
      <c r="D14" s="11">
        <f>Bonus_beheer!AG17</f>
        <v>0</v>
      </c>
      <c r="E14" s="11">
        <f t="shared" si="1"/>
        <v>114</v>
      </c>
    </row>
    <row r="15" spans="1:5" ht="18" customHeight="1" x14ac:dyDescent="0.25">
      <c r="A15" s="11">
        <f t="shared" si="0"/>
        <v>11</v>
      </c>
      <c r="B15" s="1" t="str">
        <f>Wedstrijden_beheer!E1</f>
        <v>Roland</v>
      </c>
      <c r="C15" s="11">
        <f>SUM(Wedstrijden_beheer!F3:'Wedstrijden_beheer'!F194)</f>
        <v>110</v>
      </c>
      <c r="D15" s="11">
        <f>Bonus_beheer!E17</f>
        <v>0</v>
      </c>
      <c r="E15" s="11">
        <f t="shared" si="1"/>
        <v>110</v>
      </c>
    </row>
    <row r="16" spans="1:5" ht="18" customHeight="1" x14ac:dyDescent="0.25">
      <c r="A16" s="11">
        <f t="shared" si="0"/>
        <v>19</v>
      </c>
      <c r="B16" s="1" t="str">
        <f>Wedstrijden_beheer!Q1</f>
        <v>Simone</v>
      </c>
      <c r="C16" s="11">
        <f>SUM(Wedstrijden_beheer!R3:'Wedstrijden_beheer'!R194)</f>
        <v>93</v>
      </c>
      <c r="D16" s="11">
        <f>Bonus_beheer!Q17</f>
        <v>0</v>
      </c>
      <c r="E16" s="11">
        <f t="shared" si="1"/>
        <v>93</v>
      </c>
    </row>
    <row r="17" spans="1:5" ht="18" customHeight="1" x14ac:dyDescent="0.25">
      <c r="A17" s="11">
        <f t="shared" si="0"/>
        <v>19</v>
      </c>
      <c r="B17" s="1" t="str">
        <f>Wedstrijden_beheer!AS1</f>
        <v>Andre</v>
      </c>
      <c r="C17" s="11">
        <f>SUM(Wedstrijden_beheer!R4:'Wedstrijden_beheer'!R195)</f>
        <v>93</v>
      </c>
      <c r="D17" s="11">
        <f>Bonus_beheer!Q18</f>
        <v>0</v>
      </c>
      <c r="E17" s="11">
        <f t="shared" si="1"/>
        <v>93</v>
      </c>
    </row>
    <row r="18" spans="1:5" ht="18" customHeight="1" x14ac:dyDescent="0.25">
      <c r="A18" s="11">
        <f t="shared" si="0"/>
        <v>15</v>
      </c>
      <c r="B18" s="1" t="str">
        <f>Wedstrijden_beheer!S1</f>
        <v>Marc</v>
      </c>
      <c r="C18" s="11">
        <f>SUM(Wedstrijden_beheer!T3:'Wedstrijden_beheer'!T194)</f>
        <v>102</v>
      </c>
      <c r="D18" s="11">
        <f>Bonus_beheer!S17</f>
        <v>0</v>
      </c>
      <c r="E18" s="11">
        <f t="shared" si="1"/>
        <v>102</v>
      </c>
    </row>
    <row r="19" spans="1:5" ht="18" customHeight="1" x14ac:dyDescent="0.25">
      <c r="A19" s="11">
        <f t="shared" si="0"/>
        <v>10</v>
      </c>
      <c r="B19" s="1" t="str">
        <f>Wedstrijden_beheer!AO1</f>
        <v>Patrick</v>
      </c>
      <c r="C19" s="11">
        <f>SUM(Wedstrijden_beheer!AP3:'Wedstrijden_beheer'!AP194)</f>
        <v>111</v>
      </c>
      <c r="D19" s="11">
        <f>Bonus_beheer!AO17</f>
        <v>0</v>
      </c>
      <c r="E19" s="11">
        <f t="shared" si="1"/>
        <v>111</v>
      </c>
    </row>
    <row r="20" spans="1:5" ht="18" customHeight="1" x14ac:dyDescent="0.25">
      <c r="A20" s="11">
        <f t="shared" si="0"/>
        <v>17</v>
      </c>
      <c r="B20" s="1" t="str">
        <f>Wedstrijden_beheer!W1</f>
        <v>Jos</v>
      </c>
      <c r="C20" s="11">
        <f>SUM(Wedstrijden_beheer!X3:'Wedstrijden_beheer'!X194)</f>
        <v>97</v>
      </c>
      <c r="D20" s="11">
        <f>Bonus_beheer!W17</f>
        <v>0</v>
      </c>
      <c r="E20" s="11">
        <f t="shared" si="1"/>
        <v>97</v>
      </c>
    </row>
    <row r="21" spans="1:5" ht="18" customHeight="1" x14ac:dyDescent="0.25">
      <c r="A21" s="11">
        <f t="shared" si="0"/>
        <v>17</v>
      </c>
      <c r="B21" s="1" t="str">
        <f>Wedstrijden_beheer!AI1</f>
        <v>Tim</v>
      </c>
      <c r="C21" s="11">
        <f>SUM(Wedstrijden_beheer!AJ3:'Wedstrijden_beheer'!AJ194)</f>
        <v>97</v>
      </c>
      <c r="D21" s="11">
        <f>Bonus_beheer!AI17</f>
        <v>0</v>
      </c>
      <c r="E21" s="11">
        <f t="shared" si="1"/>
        <v>97</v>
      </c>
    </row>
    <row r="22" spans="1:5" ht="18" customHeight="1" x14ac:dyDescent="0.25">
      <c r="A22" s="11">
        <f t="shared" si="0"/>
        <v>16</v>
      </c>
      <c r="B22" s="1" t="str">
        <f>Wedstrijden_beheer!AC1</f>
        <v>Ron</v>
      </c>
      <c r="C22" s="11">
        <f>SUM(Wedstrijden_beheer!AD3:'Wedstrijden_beheer'!AD194)</f>
        <v>99</v>
      </c>
      <c r="D22" s="11">
        <f>Bonus_beheer!AC17</f>
        <v>0</v>
      </c>
      <c r="E22" s="11">
        <f t="shared" si="1"/>
        <v>99</v>
      </c>
    </row>
    <row r="23" spans="1:5" x14ac:dyDescent="0.25">
      <c r="A23" s="11">
        <f t="shared" si="0"/>
        <v>21</v>
      </c>
      <c r="B23" s="1" t="str">
        <f>Wedstrijden_beheer!AM1</f>
        <v>Kristel</v>
      </c>
      <c r="C23" s="11">
        <f>SUM(Wedstrijden_beheer!AN3:'Wedstrijden_beheer'!AN194)</f>
        <v>91</v>
      </c>
      <c r="D23" s="11">
        <f>Bonus_beheer!AM17</f>
        <v>0</v>
      </c>
      <c r="E23" s="11">
        <f t="shared" si="1"/>
        <v>91</v>
      </c>
    </row>
    <row r="24" spans="1:5" x14ac:dyDescent="0.25">
      <c r="A24" s="11">
        <f t="shared" si="0"/>
        <v>22</v>
      </c>
      <c r="B24" s="1" t="str">
        <f>Wedstrijden_beheer!K1</f>
        <v>Karsten</v>
      </c>
      <c r="C24" s="11">
        <f>SUM(Wedstrijden_beheer!L3:'Wedstrijden_beheer'!L194)</f>
        <v>89</v>
      </c>
      <c r="D24" s="11">
        <f>Bonus_beheer!K17</f>
        <v>0</v>
      </c>
      <c r="E24" s="11">
        <f t="shared" si="1"/>
        <v>89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7" t="s">
        <v>290</v>
      </c>
      <c r="B1" s="17"/>
    </row>
    <row r="2" spans="1:2" ht="18" customHeight="1" x14ac:dyDescent="0.25">
      <c r="A2" s="16" t="s">
        <v>291</v>
      </c>
      <c r="B2" s="16" t="s">
        <v>292</v>
      </c>
    </row>
    <row r="3" spans="1:2" ht="18" customHeight="1" x14ac:dyDescent="0.25">
      <c r="A3" s="1" t="s">
        <v>293</v>
      </c>
      <c r="B3" s="1" t="s">
        <v>294</v>
      </c>
    </row>
    <row r="4" spans="1:2" ht="18" customHeight="1" x14ac:dyDescent="0.25">
      <c r="A4" s="1" t="s">
        <v>295</v>
      </c>
      <c r="B4" s="1" t="s">
        <v>294</v>
      </c>
    </row>
    <row r="5" spans="1:2" ht="18" customHeight="1" x14ac:dyDescent="0.25">
      <c r="A5" s="1" t="s">
        <v>296</v>
      </c>
      <c r="B5" s="1" t="s">
        <v>297</v>
      </c>
    </row>
    <row r="6" spans="1:2" ht="18" customHeight="1" x14ac:dyDescent="0.25">
      <c r="A6" s="1" t="s">
        <v>298</v>
      </c>
      <c r="B6" s="1" t="s">
        <v>299</v>
      </c>
    </row>
    <row r="7" spans="1:2" ht="18" customHeight="1" x14ac:dyDescent="0.25">
      <c r="A7" s="1" t="s">
        <v>300</v>
      </c>
      <c r="B7" s="1" t="s">
        <v>301</v>
      </c>
    </row>
    <row r="8" spans="1:2" ht="18" customHeight="1" x14ac:dyDescent="0.25">
      <c r="A8" s="1" t="s">
        <v>302</v>
      </c>
      <c r="B8" s="1" t="s">
        <v>303</v>
      </c>
    </row>
    <row r="9" spans="1:2" ht="18" customHeight="1" x14ac:dyDescent="0.25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16" t="s">
        <v>291</v>
      </c>
      <c r="B2" s="16" t="s">
        <v>28</v>
      </c>
      <c r="C2" s="16" t="s">
        <v>307</v>
      </c>
    </row>
    <row r="3" spans="1:44" ht="18" customHeight="1" x14ac:dyDescent="0.25">
      <c r="A3" s="1" t="s">
        <v>308</v>
      </c>
      <c r="B3" s="1">
        <v>10</v>
      </c>
      <c r="C3" s="1" t="s">
        <v>309</v>
      </c>
    </row>
    <row r="4" spans="1:44" ht="18" customHeight="1" x14ac:dyDescent="0.25">
      <c r="A4" s="1" t="s">
        <v>310</v>
      </c>
      <c r="B4" s="1">
        <v>5</v>
      </c>
      <c r="C4" s="1" t="s">
        <v>311</v>
      </c>
    </row>
    <row r="5" spans="1:44" ht="18" customHeight="1" x14ac:dyDescent="0.25">
      <c r="A5" s="1" t="s">
        <v>312</v>
      </c>
      <c r="B5" s="1">
        <v>2</v>
      </c>
      <c r="C5" s="1" t="s">
        <v>313</v>
      </c>
    </row>
    <row r="6" spans="1:44" ht="18" customHeight="1" x14ac:dyDescent="0.25">
      <c r="A6" s="1" t="s">
        <v>314</v>
      </c>
      <c r="B6" s="1">
        <v>2</v>
      </c>
      <c r="C6" s="1" t="s">
        <v>315</v>
      </c>
    </row>
    <row r="7" spans="1:44" ht="18" customHeight="1" x14ac:dyDescent="0.25">
      <c r="A7" s="1" t="s">
        <v>316</v>
      </c>
      <c r="B7" s="1">
        <v>2</v>
      </c>
      <c r="C7" s="1" t="s">
        <v>317</v>
      </c>
    </row>
    <row r="8" spans="1:44" ht="18" customHeight="1" x14ac:dyDescent="0.25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topLeftCell="A10" zoomScale="190" zoomScaleNormal="190" workbookViewId="0">
      <selection activeCell="D20" sqref="D2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6" t="s">
        <v>319</v>
      </c>
      <c r="B1" s="26" t="s">
        <v>320</v>
      </c>
      <c r="C1" s="26" t="s">
        <v>321</v>
      </c>
    </row>
    <row r="2" spans="1:3" x14ac:dyDescent="0.25">
      <c r="A2" t="s">
        <v>322</v>
      </c>
      <c r="B2" t="s">
        <v>22</v>
      </c>
    </row>
    <row r="3" spans="1:3" x14ac:dyDescent="0.25">
      <c r="B3" t="s">
        <v>23</v>
      </c>
    </row>
    <row r="4" spans="1:3" x14ac:dyDescent="0.25">
      <c r="B4" t="s">
        <v>24</v>
      </c>
    </row>
    <row r="5" spans="1:3" x14ac:dyDescent="0.25">
      <c r="B5" t="s">
        <v>323</v>
      </c>
    </row>
    <row r="6" spans="1:3" x14ac:dyDescent="0.25">
      <c r="B6" t="s">
        <v>20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3" x14ac:dyDescent="0.25">
      <c r="B17" t="s">
        <v>5</v>
      </c>
    </row>
    <row r="18" spans="2:3" x14ac:dyDescent="0.25">
      <c r="B18" t="s">
        <v>4</v>
      </c>
    </row>
    <row r="19" spans="2:3" x14ac:dyDescent="0.25">
      <c r="B19" t="s">
        <v>21</v>
      </c>
    </row>
    <row r="20" spans="2:3" x14ac:dyDescent="0.25">
      <c r="B20" t="s">
        <v>14</v>
      </c>
    </row>
    <row r="21" spans="2:3" x14ac:dyDescent="0.25">
      <c r="B21" t="s">
        <v>13</v>
      </c>
    </row>
    <row r="22" spans="2:3" x14ac:dyDescent="0.25">
      <c r="B22" t="s">
        <v>18</v>
      </c>
    </row>
    <row r="23" spans="2:3" x14ac:dyDescent="0.25">
      <c r="C23" t="s">
        <v>324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microsoft.com/office/infopath/2007/PartnerControls"/>
    <ds:schemaRef ds:uri="7c2036e6-2c6c-4cc0-93d3-66cc911cb074"/>
    <ds:schemaRef ds:uri="http://purl.org/dc/dcmitype/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purl.org/dc/elements/1.1/"/>
    <ds:schemaRef ds:uri="http://schemas.openxmlformats.org/package/2006/metadata/core-properties"/>
    <ds:schemaRef ds:uri="7b90d758-d430-4ffd-9227-0f539ac4882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2026-06-19T05:46:14Z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