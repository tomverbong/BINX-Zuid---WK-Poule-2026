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496" documentId="8_{E82BF418-5EC5-4A9D-9227-B9F99AE92E74}" xr6:coauthVersionLast="47" xr6:coauthVersionMax="47" xr10:uidLastSave="{4A299896-DD91-4E2C-944A-706BE07FE8AB}"/>
  <bookViews>
    <workbookView xWindow="-110" yWindow="-110" windowWidth="38620" windowHeight="2110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8" i="1"/>
  <c r="AT39" i="1"/>
  <c r="AT41" i="1"/>
  <c r="AT42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17" i="3"/>
  <c r="D17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37" i="1"/>
  <c r="AV38" i="1"/>
  <c r="AV41" i="1"/>
  <c r="AV42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16" i="3"/>
  <c r="B3" i="3"/>
  <c r="B7" i="3"/>
  <c r="B8" i="3"/>
  <c r="B20" i="3"/>
  <c r="B18" i="3"/>
  <c r="B14" i="3"/>
  <c r="B12" i="3"/>
  <c r="B15" i="3"/>
  <c r="B19" i="3"/>
  <c r="B24" i="3"/>
  <c r="B21" i="3"/>
  <c r="B23" i="3"/>
  <c r="B13" i="3"/>
  <c r="D13" i="3"/>
  <c r="B11" i="3"/>
  <c r="B4" i="3"/>
  <c r="B10" i="3"/>
  <c r="B22" i="3"/>
  <c r="B5" i="3"/>
  <c r="B6" i="3"/>
  <c r="B9" i="3"/>
  <c r="AR6" i="1"/>
  <c r="AR10" i="1"/>
  <c r="AR14" i="1"/>
  <c r="AR20" i="1"/>
  <c r="AR21" i="1"/>
  <c r="AR27" i="1"/>
  <c r="AR30" i="1"/>
  <c r="AR31" i="1"/>
  <c r="AR32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P36" i="1" l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2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16" i="3" s="1"/>
  <c r="AK17" i="2"/>
  <c r="D7" i="3" s="1"/>
  <c r="AM17" i="2"/>
  <c r="D23" i="3" s="1"/>
  <c r="AI17" i="2"/>
  <c r="D21" i="3" s="1"/>
  <c r="AO17" i="2"/>
  <c r="D19" i="3" s="1"/>
  <c r="AA17" i="2"/>
  <c r="D4" i="3" s="1"/>
  <c r="AC17" i="2"/>
  <c r="D22" i="3" s="1"/>
  <c r="AE17" i="2"/>
  <c r="D5" i="3" s="1"/>
  <c r="AG17" i="2"/>
  <c r="D14" i="3" s="1"/>
  <c r="E17" i="2"/>
  <c r="D15" i="3" s="1"/>
  <c r="I17" i="2"/>
  <c r="D9" i="3" s="1"/>
  <c r="K17" i="2"/>
  <c r="D24" i="3" s="1"/>
  <c r="M17" i="2"/>
  <c r="D10" i="3" s="1"/>
  <c r="G17" i="2"/>
  <c r="D6" i="3" s="1"/>
  <c r="O17" i="2"/>
  <c r="D3" i="3" s="1"/>
  <c r="S17" i="2"/>
  <c r="D18" i="3" s="1"/>
  <c r="U17" i="2"/>
  <c r="D8" i="3" s="1"/>
  <c r="W17" i="2"/>
  <c r="D20" i="3" s="1"/>
  <c r="Y17" i="2"/>
  <c r="D11" i="3" s="1"/>
  <c r="C12" i="3" l="1"/>
  <c r="E12" i="3" s="1"/>
  <c r="C13" i="3"/>
  <c r="E13" i="3" s="1"/>
  <c r="C16" i="3"/>
  <c r="E16" i="3" s="1"/>
  <c r="C17" i="3"/>
  <c r="E17" i="3" s="1"/>
  <c r="C19" i="3"/>
  <c r="E19" i="3" s="1"/>
  <c r="C22" i="3"/>
  <c r="E22" i="3" s="1"/>
  <c r="C18" i="3"/>
  <c r="E18" i="3" s="1"/>
  <c r="C5" i="3"/>
  <c r="E5" i="3" s="1"/>
  <c r="C3" i="3"/>
  <c r="E3" i="3" s="1"/>
  <c r="C10" i="3"/>
  <c r="E10" i="3" s="1"/>
  <c r="C21" i="3"/>
  <c r="E21" i="3" s="1"/>
  <c r="C15" i="3"/>
  <c r="E15" i="3" s="1"/>
  <c r="C20" i="3"/>
  <c r="E20" i="3" s="1"/>
  <c r="C24" i="3"/>
  <c r="E24" i="3" s="1"/>
  <c r="C7" i="3"/>
  <c r="E7" i="3" s="1"/>
  <c r="C4" i="3"/>
  <c r="E4" i="3" s="1"/>
  <c r="C6" i="3"/>
  <c r="E6" i="3" s="1"/>
  <c r="C11" i="3"/>
  <c r="E11" i="3" s="1"/>
  <c r="C9" i="3"/>
  <c r="E9" i="3" s="1"/>
  <c r="C23" i="3"/>
  <c r="E23" i="3" s="1"/>
  <c r="C8" i="3"/>
  <c r="E8" i="3" s="1"/>
  <c r="C14" i="3"/>
  <c r="E14" i="3" s="1"/>
  <c r="A17" i="3" l="1"/>
  <c r="A23" i="3"/>
  <c r="A9" i="3"/>
  <c r="A13" i="3"/>
  <c r="A14" i="3"/>
  <c r="A15" i="3"/>
  <c r="A11" i="3"/>
  <c r="A24" i="3"/>
  <c r="A3" i="3"/>
  <c r="A19" i="3"/>
  <c r="A21" i="3"/>
  <c r="A8" i="3"/>
  <c r="A10" i="3"/>
  <c r="A6" i="3"/>
  <c r="A16" i="3"/>
  <c r="A18" i="3"/>
  <c r="A20" i="3"/>
  <c r="A7" i="3"/>
  <c r="A5" i="3"/>
  <c r="A22" i="3"/>
  <c r="A4" i="3"/>
  <c r="A12" i="3"/>
</calcChain>
</file>

<file path=xl/sharedStrings.xml><?xml version="1.0" encoding="utf-8"?>
<sst xmlns="http://schemas.openxmlformats.org/spreadsheetml/2006/main" count="2324" uniqueCount="330">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</sst>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Q12" activePane="bottomRight" state="frozen"/>
      <selection pane="topRight"/>
      <selection pane="bottomLeft"/>
      <selection pane="bottomRight" activeCell="C37" sqref="C37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5.5703125" style="23" customWidth="1"/>
    <col min="42" max="42" width="8.5703125" customWidth="1"/>
    <col min="43" max="43" width="15.5703125" style="23" customWidth="1"/>
    <col min="44" max="44" width="8.5703125" customWidth="1"/>
    <col min="45" max="45" width="15.7109375" style="23" customWidth="1"/>
    <col min="46" max="46" width="8.5703125" customWidth="1"/>
    <col min="47" max="47" width="15.5703125" style="23" customWidth="1"/>
    <col min="48" max="48" width="8.5703125" customWidth="1"/>
    <col min="49" max="50" width="13" hidden="1" customWidth="1"/>
  </cols>
  <sheetData>
    <row r="1" spans="1:50" x14ac:dyDescent="0.2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2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00000000000001" customHeight="1" x14ac:dyDescent="0.2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/>
      </c>
      <c r="G37" s="10" t="s">
        <v>62</v>
      </c>
      <c r="H37" s="11" t="str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/>
      </c>
      <c r="I37" s="10" t="s">
        <v>38</v>
      </c>
      <c r="J37" s="11" t="str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/>
      </c>
      <c r="K37" s="10" t="s">
        <v>34</v>
      </c>
      <c r="L37" s="11" t="str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/>
      </c>
      <c r="M37" s="10" t="s">
        <v>38</v>
      </c>
      <c r="N37" s="11" t="str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/>
      </c>
      <c r="O37" s="10" t="s">
        <v>63</v>
      </c>
      <c r="P37" s="11" t="str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/>
      </c>
      <c r="Q37" s="10" t="s">
        <v>38</v>
      </c>
      <c r="R37" s="11" t="str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/>
      </c>
      <c r="S37" s="10" t="s">
        <v>43</v>
      </c>
      <c r="T37" s="11" t="str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/>
      </c>
      <c r="U37" s="10" t="s">
        <v>36</v>
      </c>
      <c r="V37" s="11" t="str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/>
      </c>
      <c r="W37" s="10" t="s">
        <v>36</v>
      </c>
      <c r="X37" s="11" t="str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/>
      </c>
      <c r="Y37" s="10" t="s">
        <v>36</v>
      </c>
      <c r="Z37" s="11" t="str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/>
      </c>
      <c r="AA37" s="10" t="s">
        <v>72</v>
      </c>
      <c r="AB37" s="11" t="str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/>
      </c>
      <c r="AC37" s="10" t="s">
        <v>36</v>
      </c>
      <c r="AD37" s="11" t="str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/>
      </c>
      <c r="AE37" s="10" t="s">
        <v>34</v>
      </c>
      <c r="AF37" s="11" t="str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/>
      </c>
      <c r="AG37" s="10" t="s">
        <v>34</v>
      </c>
      <c r="AH37" s="11" t="str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/>
      </c>
      <c r="AI37" s="10" t="s">
        <v>36</v>
      </c>
      <c r="AJ37" s="11" t="str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/>
      </c>
      <c r="AK37" s="10" t="s">
        <v>34</v>
      </c>
      <c r="AL37" s="11" t="str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/>
      </c>
      <c r="AM37" s="10" t="s">
        <v>36</v>
      </c>
      <c r="AN37" s="11" t="str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/>
      </c>
      <c r="AO37" s="10" t="s">
        <v>38</v>
      </c>
      <c r="AP37" s="11" t="str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/>
      </c>
      <c r="AQ37" s="10" t="s">
        <v>39</v>
      </c>
      <c r="AR37" s="11" t="str">
        <f t="shared" si="2"/>
        <v/>
      </c>
      <c r="AS37" s="10" t="s">
        <v>39</v>
      </c>
      <c r="AT37" s="11" t="str">
        <f t="shared" si="3"/>
        <v/>
      </c>
      <c r="AU37" s="10" t="s">
        <v>43</v>
      </c>
      <c r="AV37" s="11" t="str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/>
      </c>
      <c r="AW37" s="11" t="str">
        <f>IF($C37="","",IFERROR(--LEFT($C37,FIND("-",$C37)-1),""))</f>
        <v/>
      </c>
      <c r="AX37" s="11" t="str">
        <f>IF($C37="","",IFERROR(--MID($C37,FIND("-",$C37)+1,99),""))</f>
        <v/>
      </c>
    </row>
    <row r="38" spans="1:50" ht="18" customHeight="1" x14ac:dyDescent="0.2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/>
      </c>
      <c r="G38" s="10" t="s">
        <v>49</v>
      </c>
      <c r="H38" s="11" t="str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/>
      </c>
      <c r="I38" s="10" t="s">
        <v>33</v>
      </c>
      <c r="J38" s="11" t="str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/>
      </c>
      <c r="K38" s="10" t="s">
        <v>61</v>
      </c>
      <c r="L38" s="11" t="str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/>
      </c>
      <c r="M38" s="10" t="s">
        <v>49</v>
      </c>
      <c r="N38" s="11" t="str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/>
      </c>
      <c r="O38" s="10" t="s">
        <v>33</v>
      </c>
      <c r="P38" s="11" t="str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/>
      </c>
      <c r="Q38" s="10" t="s">
        <v>49</v>
      </c>
      <c r="R38" s="11" t="str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/>
      </c>
      <c r="S38" s="10" t="s">
        <v>63</v>
      </c>
      <c r="T38" s="11" t="str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/>
      </c>
      <c r="U38" s="10" t="s">
        <v>35</v>
      </c>
      <c r="V38" s="11" t="str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/>
      </c>
      <c r="W38" s="10" t="s">
        <v>35</v>
      </c>
      <c r="X38" s="11" t="str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/>
      </c>
      <c r="Y38" s="10" t="s">
        <v>35</v>
      </c>
      <c r="Z38" s="11" t="str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/>
      </c>
      <c r="AA38" s="10" t="s">
        <v>34</v>
      </c>
      <c r="AB38" s="11" t="str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/>
      </c>
      <c r="AC38" s="10" t="s">
        <v>38</v>
      </c>
      <c r="AD38" s="11" t="str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/>
      </c>
      <c r="AE38" s="10" t="s">
        <v>33</v>
      </c>
      <c r="AF38" s="11" t="str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/>
      </c>
      <c r="AG38" s="10" t="s">
        <v>33</v>
      </c>
      <c r="AH38" s="11" t="str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/>
      </c>
      <c r="AI38" s="10" t="s">
        <v>33</v>
      </c>
      <c r="AJ38" s="11" t="str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/>
      </c>
      <c r="AK38" s="10" t="s">
        <v>33</v>
      </c>
      <c r="AL38" s="11" t="str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/>
      </c>
      <c r="AM38" s="10" t="s">
        <v>33</v>
      </c>
      <c r="AN38" s="11" t="str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/>
      </c>
      <c r="AO38" s="10" t="s">
        <v>49</v>
      </c>
      <c r="AP38" s="11" t="str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/>
      </c>
      <c r="AQ38" s="10" t="s">
        <v>61</v>
      </c>
      <c r="AR38" s="11" t="str">
        <f t="shared" si="2"/>
        <v/>
      </c>
      <c r="AS38" s="10" t="s">
        <v>39</v>
      </c>
      <c r="AT38" s="11" t="str">
        <f t="shared" si="3"/>
        <v/>
      </c>
      <c r="AU38" s="10" t="s">
        <v>49</v>
      </c>
      <c r="AV38" s="11" t="str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/>
      </c>
      <c r="AW38" s="11" t="str">
        <f>IF($C38="","",IFERROR(--LEFT($C38,FIND("-",$C38)-1),""))</f>
        <v/>
      </c>
      <c r="AX38" s="11" t="str">
        <f>IF($C38="","",IFERROR(--MID($C38,FIND("-",$C38)+1,99),""))</f>
        <v/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/>
      </c>
      <c r="G41" s="10" t="s">
        <v>106</v>
      </c>
      <c r="H41" s="11" t="str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/>
      </c>
      <c r="I41" s="10" t="s">
        <v>39</v>
      </c>
      <c r="J41" s="11" t="str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/>
      </c>
      <c r="K41" s="10" t="s">
        <v>49</v>
      </c>
      <c r="L41" s="11" t="str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/>
      </c>
      <c r="M41" s="10" t="s">
        <v>36</v>
      </c>
      <c r="N41" s="11" t="str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/>
      </c>
      <c r="O41" s="10" t="s">
        <v>38</v>
      </c>
      <c r="P41" s="11" t="str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/>
      </c>
      <c r="Q41" s="10" t="s">
        <v>35</v>
      </c>
      <c r="R41" s="11" t="str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/>
      </c>
      <c r="S41" s="10" t="s">
        <v>49</v>
      </c>
      <c r="T41" s="11" t="str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/>
      </c>
      <c r="U41" s="10" t="s">
        <v>33</v>
      </c>
      <c r="V41" s="11" t="str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/>
      </c>
      <c r="W41" s="10" t="s">
        <v>36</v>
      </c>
      <c r="X41" s="11" t="str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/>
      </c>
      <c r="Y41" s="10" t="s">
        <v>36</v>
      </c>
      <c r="Z41" s="11" t="str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/>
      </c>
      <c r="AA41" s="10" t="s">
        <v>39</v>
      </c>
      <c r="AB41" s="11" t="str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/>
      </c>
      <c r="AC41" s="10" t="s">
        <v>49</v>
      </c>
      <c r="AD41" s="11" t="str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/>
      </c>
      <c r="AE41" s="10" t="s">
        <v>33</v>
      </c>
      <c r="AF41" s="11" t="str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/>
      </c>
      <c r="AG41" s="10" t="s">
        <v>45</v>
      </c>
      <c r="AH41" s="11" t="str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/>
      </c>
      <c r="AI41" s="10" t="s">
        <v>39</v>
      </c>
      <c r="AJ41" s="11" t="str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/>
      </c>
      <c r="AK41" s="10" t="s">
        <v>36</v>
      </c>
      <c r="AL41" s="11" t="str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/>
      </c>
      <c r="AM41" s="10" t="s">
        <v>36</v>
      </c>
      <c r="AN41" s="11" t="str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/>
      </c>
      <c r="AO41" s="10" t="s">
        <v>39</v>
      </c>
      <c r="AP41" s="11" t="str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/>
      </c>
      <c r="AQ41" s="10" t="s">
        <v>37</v>
      </c>
      <c r="AR41" s="11" t="str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/>
      </c>
      <c r="AS41" s="10" t="s">
        <v>49</v>
      </c>
      <c r="AT41" s="11" t="str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/>
      </c>
      <c r="AU41" s="10" t="s">
        <v>39</v>
      </c>
      <c r="AV41" s="11" t="str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/>
      </c>
      <c r="AW41" s="11" t="str">
        <f>IF($C41="","",IFERROR(--LEFT($C41,FIND("-",$C41)-1),""))</f>
        <v/>
      </c>
      <c r="AX41" s="11" t="str">
        <f>IF($C41="","",IFERROR(--MID($C41,FIND("-",$C41)+1,99),""))</f>
        <v/>
      </c>
    </row>
    <row r="42" spans="1:50" ht="18" customHeight="1" x14ac:dyDescent="0.2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/>
      </c>
      <c r="G42" s="10" t="s">
        <v>37</v>
      </c>
      <c r="H42" s="11" t="str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/>
      </c>
      <c r="I42" s="10" t="s">
        <v>35</v>
      </c>
      <c r="J42" s="11" t="str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/>
      </c>
      <c r="K42" s="10" t="s">
        <v>33</v>
      </c>
      <c r="L42" s="11" t="str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/>
      </c>
      <c r="M42" s="10" t="s">
        <v>57</v>
      </c>
      <c r="N42" s="11" t="str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/>
      </c>
      <c r="O42" s="10" t="s">
        <v>56</v>
      </c>
      <c r="P42" s="11" t="str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/>
      </c>
      <c r="Q42" s="10" t="s">
        <v>109</v>
      </c>
      <c r="R42" s="11" t="str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/>
      </c>
      <c r="S42" s="10" t="s">
        <v>35</v>
      </c>
      <c r="T42" s="11" t="str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/>
      </c>
      <c r="U42" s="10" t="s">
        <v>45</v>
      </c>
      <c r="V42" s="11" t="str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/>
      </c>
      <c r="W42" s="10" t="s">
        <v>48</v>
      </c>
      <c r="X42" s="11" t="str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/>
      </c>
      <c r="Y42" s="10" t="s">
        <v>37</v>
      </c>
      <c r="Z42" s="11" t="str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/>
      </c>
      <c r="AA42" s="10" t="s">
        <v>35</v>
      </c>
      <c r="AB42" s="11" t="str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/>
      </c>
      <c r="AC42" s="10" t="s">
        <v>33</v>
      </c>
      <c r="AD42" s="11" t="str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/>
      </c>
      <c r="AE42" s="10" t="s">
        <v>48</v>
      </c>
      <c r="AF42" s="11" t="str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/>
      </c>
      <c r="AG42" s="10" t="s">
        <v>37</v>
      </c>
      <c r="AH42" s="11" t="str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/>
      </c>
      <c r="AI42" s="10" t="s">
        <v>48</v>
      </c>
      <c r="AJ42" s="11" t="str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/>
      </c>
      <c r="AK42" s="10" t="s">
        <v>48</v>
      </c>
      <c r="AL42" s="11" t="str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/>
      </c>
      <c r="AM42" s="10" t="s">
        <v>35</v>
      </c>
      <c r="AN42" s="11" t="str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/>
      </c>
      <c r="AO42" s="10" t="s">
        <v>37</v>
      </c>
      <c r="AP42" s="11" t="str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/>
      </c>
      <c r="AQ42" s="10" t="s">
        <v>35</v>
      </c>
      <c r="AR42" s="11" t="str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/>
      </c>
      <c r="AS42" s="10" t="s">
        <v>39</v>
      </c>
      <c r="AT42" s="11" t="str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/>
      </c>
      <c r="AU42" s="10" t="s">
        <v>37</v>
      </c>
      <c r="AV42" s="11" t="str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/>
      </c>
      <c r="AW42" s="11" t="str">
        <f>IF($C42="","",IFERROR(--LEFT($C42,FIND("-",$C42)-1),""))</f>
        <v/>
      </c>
      <c r="AX42" s="11" t="str">
        <f>IF($C42="","",IFERROR(--MID($C42,FIND("-",$C42)+1,99),""))</f>
        <v/>
      </c>
    </row>
    <row r="43" spans="1:50" ht="18" customHeight="1" x14ac:dyDescent="0.2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2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2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2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2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2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2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2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2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2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2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2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2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2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2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2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2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2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2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2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2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2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2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2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2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2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2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2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2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2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2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2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2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2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2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2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2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2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2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2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2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2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2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2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2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2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2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2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2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2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2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2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2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2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2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2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2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2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2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2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2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2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2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2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2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2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2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2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2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45" customHeight="1" x14ac:dyDescent="0.2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5" customHeight="1" x14ac:dyDescent="0.2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5" customHeight="1" x14ac:dyDescent="0.2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5" customHeight="1" x14ac:dyDescent="0.2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5" customHeight="1" x14ac:dyDescent="0.2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I11" sqref="I11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284</v>
      </c>
      <c r="B1" s="17"/>
      <c r="C1" s="17"/>
      <c r="D1" s="17"/>
      <c r="E1" s="17"/>
    </row>
    <row r="2" spans="1:5" ht="18" customHeight="1" x14ac:dyDescent="0.2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25">
      <c r="A3" s="11">
        <f>_xlfn.RANK.EQ(E3,$E$3:$E$90,0)</f>
        <v>1</v>
      </c>
      <c r="B3" s="1" t="str">
        <f>Wedstrijden_beheer!O1</f>
        <v>Maik</v>
      </c>
      <c r="C3" s="11">
        <f>SUM(Wedstrijden_beheer!P3:'Wedstrijden_beheer'!P194)</f>
        <v>96</v>
      </c>
      <c r="D3" s="11">
        <f>Bonus_beheer!O17</f>
        <v>0</v>
      </c>
      <c r="E3" s="11">
        <f>C3+D3</f>
        <v>96</v>
      </c>
    </row>
    <row r="4" spans="1:5" ht="18" customHeight="1" x14ac:dyDescent="0.25">
      <c r="A4" s="11">
        <f>_xlfn.RANK.EQ(E4,$E$3:$E$90,0)</f>
        <v>2</v>
      </c>
      <c r="B4" s="1" t="str">
        <f>Wedstrijden_beheer!AA1</f>
        <v>Ivo</v>
      </c>
      <c r="C4" s="11">
        <f>SUM(Wedstrijden_beheer!AB3:'Wedstrijden_beheer'!AB194)</f>
        <v>92</v>
      </c>
      <c r="D4" s="11">
        <f>Bonus_beheer!AA17</f>
        <v>0</v>
      </c>
      <c r="E4" s="11">
        <f>C4+D4</f>
        <v>92</v>
      </c>
    </row>
    <row r="5" spans="1:5" ht="18" customHeight="1" x14ac:dyDescent="0.2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88</v>
      </c>
      <c r="D5" s="11">
        <f>Bonus_beheer!AE17</f>
        <v>0</v>
      </c>
      <c r="E5" s="11">
        <f>C5+D5</f>
        <v>88</v>
      </c>
    </row>
    <row r="6" spans="1:5" ht="18" customHeight="1" x14ac:dyDescent="0.25">
      <c r="A6" s="11">
        <f>_xlfn.RANK.EQ(E6,$E$3:$E$90,0)</f>
        <v>4</v>
      </c>
      <c r="B6" s="1" t="str">
        <f>Wedstrijden_beheer!G1</f>
        <v>Nikki</v>
      </c>
      <c r="C6" s="11">
        <f>SUM(Wedstrijden_beheer!H3:'Wedstrijden_beheer'!H194)</f>
        <v>83</v>
      </c>
      <c r="D6" s="11">
        <f>Bonus_beheer!G17</f>
        <v>0</v>
      </c>
      <c r="E6" s="11">
        <f>C6+D6</f>
        <v>83</v>
      </c>
    </row>
    <row r="7" spans="1:5" ht="18" customHeight="1" x14ac:dyDescent="0.25">
      <c r="A7" s="11">
        <f>_xlfn.RANK.EQ(E7,$E$3:$E$90,0)</f>
        <v>4</v>
      </c>
      <c r="B7" s="1" t="str">
        <f>Wedstrijden_beheer!AK1</f>
        <v>Kim</v>
      </c>
      <c r="C7" s="11">
        <f>SUM(Wedstrijden_beheer!AL3:'Wedstrijden_beheer'!AL194)</f>
        <v>83</v>
      </c>
      <c r="D7" s="11">
        <f>Bonus_beheer!AK17</f>
        <v>0</v>
      </c>
      <c r="E7" s="11">
        <f>C7+D7</f>
        <v>83</v>
      </c>
    </row>
    <row r="8" spans="1:5" ht="18" customHeight="1" x14ac:dyDescent="0.25">
      <c r="A8" s="11">
        <f>_xlfn.RANK.EQ(E8,$E$3:$E$90,0)</f>
        <v>6</v>
      </c>
      <c r="B8" s="1" t="str">
        <f>Wedstrijden_beheer!U1</f>
        <v>Tom</v>
      </c>
      <c r="C8" s="11">
        <f>SUM(Wedstrijden_beheer!V3:'Wedstrijden_beheer'!V194)</f>
        <v>81</v>
      </c>
      <c r="D8" s="11">
        <f>Bonus_beheer!U17</f>
        <v>0</v>
      </c>
      <c r="E8" s="11">
        <f>C8+D8</f>
        <v>81</v>
      </c>
    </row>
    <row r="9" spans="1:5" ht="18" customHeight="1" x14ac:dyDescent="0.25">
      <c r="A9" s="11">
        <f>_xlfn.RANK.EQ(E9,$E$3:$E$90,0)</f>
        <v>7</v>
      </c>
      <c r="B9" s="1" t="str">
        <f>Wedstrijden_beheer!I1</f>
        <v>Abdussamed</v>
      </c>
      <c r="C9" s="11">
        <f>SUM(Wedstrijden_beheer!J3:'Wedstrijden_beheer'!J194)</f>
        <v>79</v>
      </c>
      <c r="D9" s="11">
        <f>Bonus_beheer!I17</f>
        <v>0</v>
      </c>
      <c r="E9" s="11">
        <f>C9+D9</f>
        <v>79</v>
      </c>
    </row>
    <row r="10" spans="1:5" ht="18" customHeight="1" x14ac:dyDescent="0.25">
      <c r="A10" s="11">
        <f>_xlfn.RANK.EQ(E10,$E$3:$E$90,0)</f>
        <v>7</v>
      </c>
      <c r="B10" s="1" t="str">
        <f>Wedstrijden_beheer!M1</f>
        <v>Bas</v>
      </c>
      <c r="C10" s="11">
        <f>SUM(Wedstrijden_beheer!N3:'Wedstrijden_beheer'!N194)</f>
        <v>79</v>
      </c>
      <c r="D10" s="11">
        <f>Bonus_beheer!M17</f>
        <v>0</v>
      </c>
      <c r="E10" s="11">
        <f>C10+D10</f>
        <v>79</v>
      </c>
    </row>
    <row r="11" spans="1:5" ht="18" customHeight="1" x14ac:dyDescent="0.25">
      <c r="A11" s="11">
        <f>_xlfn.RANK.EQ(E11,$E$3:$E$90,0)</f>
        <v>7</v>
      </c>
      <c r="B11" s="1" t="str">
        <f>Wedstrijden_beheer!Y1</f>
        <v>Lesley</v>
      </c>
      <c r="C11" s="11">
        <f>SUM(Wedstrijden_beheer!Z3:'Wedstrijden_beheer'!Z194)</f>
        <v>79</v>
      </c>
      <c r="D11" s="11">
        <f>Bonus_beheer!Y17</f>
        <v>0</v>
      </c>
      <c r="E11" s="11">
        <f>C11+D11</f>
        <v>79</v>
      </c>
    </row>
    <row r="12" spans="1:5" ht="18" customHeight="1" x14ac:dyDescent="0.25">
      <c r="A12" s="11">
        <f>_xlfn.RANK.EQ(E12,$E$3:$E$90,0)</f>
        <v>10</v>
      </c>
      <c r="B12" s="1" t="str">
        <f>Wedstrijden_beheer!AU1</f>
        <v>Raymond</v>
      </c>
      <c r="C12" s="11">
        <f>SUM(Wedstrijden_beheer!AV3:'Wedstrijden_beheer'!AV194)</f>
        <v>77</v>
      </c>
      <c r="D12" s="11">
        <f>Bonus_beheer!AU17</f>
        <v>0</v>
      </c>
      <c r="E12" s="11">
        <f>C12+D12</f>
        <v>77</v>
      </c>
    </row>
    <row r="13" spans="1:5" ht="18" customHeight="1" x14ac:dyDescent="0.25">
      <c r="A13" s="11">
        <f>_xlfn.RANK.EQ(E13,$E$3:$E$90,0)</f>
        <v>10</v>
      </c>
      <c r="B13" s="1" t="str">
        <f>Wedstrijden_beheer!AQ1</f>
        <v>Jeno</v>
      </c>
      <c r="C13" s="11">
        <f>SUM(Wedstrijden_beheer!AV4:'Wedstrijden_beheer'!AV195)</f>
        <v>77</v>
      </c>
      <c r="D13" s="11">
        <f>Bonus_beheer!AU18</f>
        <v>0</v>
      </c>
      <c r="E13" s="11">
        <f>C13+D13</f>
        <v>77</v>
      </c>
    </row>
    <row r="14" spans="1:5" ht="18" customHeight="1" x14ac:dyDescent="0.25">
      <c r="A14" s="11">
        <f>_xlfn.RANK.EQ(E14,$E$3:$E$90,0)</f>
        <v>12</v>
      </c>
      <c r="B14" s="1" t="str">
        <f>Wedstrijden_beheer!AG1</f>
        <v>Erwin</v>
      </c>
      <c r="C14" s="11">
        <f>SUM(Wedstrijden_beheer!AH3:'Wedstrijden_beheer'!AH194)</f>
        <v>76</v>
      </c>
      <c r="D14" s="11">
        <f>Bonus_beheer!AG17</f>
        <v>0</v>
      </c>
      <c r="E14" s="11">
        <f>C14+D14</f>
        <v>76</v>
      </c>
    </row>
    <row r="15" spans="1:5" ht="18" customHeight="1" x14ac:dyDescent="0.25">
      <c r="A15" s="11">
        <f>_xlfn.RANK.EQ(E15,$E$3:$E$90,0)</f>
        <v>12</v>
      </c>
      <c r="B15" s="1" t="str">
        <f>Wedstrijden_beheer!E1</f>
        <v>Roland</v>
      </c>
      <c r="C15" s="11">
        <f>SUM(Wedstrijden_beheer!F3:'Wedstrijden_beheer'!F194)</f>
        <v>76</v>
      </c>
      <c r="D15" s="11">
        <f>Bonus_beheer!E17</f>
        <v>0</v>
      </c>
      <c r="E15" s="11">
        <f>C15+D15</f>
        <v>76</v>
      </c>
    </row>
    <row r="16" spans="1:5" ht="18" customHeight="1" x14ac:dyDescent="0.25">
      <c r="A16" s="11">
        <f>_xlfn.RANK.EQ(E16,$E$3:$E$90,0)</f>
        <v>14</v>
      </c>
      <c r="B16" s="1" t="str">
        <f>Wedstrijden_beheer!Q1</f>
        <v>Simone</v>
      </c>
      <c r="C16" s="11">
        <f>SUM(Wedstrijden_beheer!R3:'Wedstrijden_beheer'!R194)</f>
        <v>75</v>
      </c>
      <c r="D16" s="11">
        <f>Bonus_beheer!Q17</f>
        <v>0</v>
      </c>
      <c r="E16" s="11">
        <f>C16+D16</f>
        <v>75</v>
      </c>
    </row>
    <row r="17" spans="1:5" ht="18" customHeight="1" x14ac:dyDescent="0.25">
      <c r="A17" s="11">
        <f>_xlfn.RANK.EQ(E17,$E$3:$E$90,0)</f>
        <v>14</v>
      </c>
      <c r="B17" s="1" t="str">
        <f>Wedstrijden_beheer!AS1</f>
        <v>Andre</v>
      </c>
      <c r="C17" s="11">
        <f>SUM(Wedstrijden_beheer!R4:'Wedstrijden_beheer'!R195)</f>
        <v>75</v>
      </c>
      <c r="D17" s="11">
        <f>Bonus_beheer!Q18</f>
        <v>0</v>
      </c>
      <c r="E17" s="11">
        <f>C17+D17</f>
        <v>75</v>
      </c>
    </row>
    <row r="18" spans="1:5" ht="18" customHeight="1" x14ac:dyDescent="0.25">
      <c r="A18" s="11">
        <f>_xlfn.RANK.EQ(E18,$E$3:$E$90,0)</f>
        <v>16</v>
      </c>
      <c r="B18" s="1" t="str">
        <f>Wedstrijden_beheer!S1</f>
        <v>Marc</v>
      </c>
      <c r="C18" s="11">
        <f>SUM(Wedstrijden_beheer!T3:'Wedstrijden_beheer'!T194)</f>
        <v>74</v>
      </c>
      <c r="D18" s="11">
        <f>Bonus_beheer!S17</f>
        <v>0</v>
      </c>
      <c r="E18" s="11">
        <f>C18+D18</f>
        <v>74</v>
      </c>
    </row>
    <row r="19" spans="1:5" ht="18" customHeight="1" x14ac:dyDescent="0.25">
      <c r="A19" s="11">
        <f>_xlfn.RANK.EQ(E19,$E$3:$E$90,0)</f>
        <v>17</v>
      </c>
      <c r="B19" s="1" t="str">
        <f>Wedstrijden_beheer!AO1</f>
        <v>Patrick</v>
      </c>
      <c r="C19" s="11">
        <f>SUM(Wedstrijden_beheer!AP3:'Wedstrijden_beheer'!AP194)</f>
        <v>73</v>
      </c>
      <c r="D19" s="11">
        <f>Bonus_beheer!AO17</f>
        <v>0</v>
      </c>
      <c r="E19" s="11">
        <f>C19+D19</f>
        <v>73</v>
      </c>
    </row>
    <row r="20" spans="1:5" ht="18" customHeight="1" x14ac:dyDescent="0.25">
      <c r="A20" s="11">
        <f>_xlfn.RANK.EQ(E20,$E$3:$E$90,0)</f>
        <v>18</v>
      </c>
      <c r="B20" s="1" t="str">
        <f>Wedstrijden_beheer!W1</f>
        <v>Jos</v>
      </c>
      <c r="C20" s="11">
        <f>SUM(Wedstrijden_beheer!X3:'Wedstrijden_beheer'!X194)</f>
        <v>72</v>
      </c>
      <c r="D20" s="11">
        <f>Bonus_beheer!W17</f>
        <v>0</v>
      </c>
      <c r="E20" s="11">
        <f>C20+D20</f>
        <v>72</v>
      </c>
    </row>
    <row r="21" spans="1:5" ht="18" customHeight="1" x14ac:dyDescent="0.25">
      <c r="A21" s="11">
        <f>_xlfn.RANK.EQ(E21,$E$3:$E$90,0)</f>
        <v>19</v>
      </c>
      <c r="B21" s="1" t="str">
        <f>Wedstrijden_beheer!AI1</f>
        <v>Tim</v>
      </c>
      <c r="C21" s="11">
        <f>SUM(Wedstrijden_beheer!AJ3:'Wedstrijden_beheer'!AJ194)</f>
        <v>70</v>
      </c>
      <c r="D21" s="11">
        <f>Bonus_beheer!AI17</f>
        <v>0</v>
      </c>
      <c r="E21" s="11">
        <f>C21+D21</f>
        <v>70</v>
      </c>
    </row>
    <row r="22" spans="1:5" ht="18" customHeight="1" x14ac:dyDescent="0.25">
      <c r="A22" s="11">
        <f>_xlfn.RANK.EQ(E22,$E$3:$E$90,0)</f>
        <v>20</v>
      </c>
      <c r="B22" s="1" t="str">
        <f>Wedstrijden_beheer!AC1</f>
        <v>Ron</v>
      </c>
      <c r="C22" s="11">
        <f>SUM(Wedstrijden_beheer!AD3:'Wedstrijden_beheer'!AD194)</f>
        <v>68</v>
      </c>
      <c r="D22" s="11">
        <f>Bonus_beheer!AC17</f>
        <v>0</v>
      </c>
      <c r="E22" s="11">
        <f>C22+D22</f>
        <v>68</v>
      </c>
    </row>
    <row r="23" spans="1:5" x14ac:dyDescent="0.25">
      <c r="A23" s="11">
        <f>_xlfn.RANK.EQ(E23,$E$3:$E$90,0)</f>
        <v>21</v>
      </c>
      <c r="B23" s="1" t="str">
        <f>Wedstrijden_beheer!AM1</f>
        <v>Kristel</v>
      </c>
      <c r="C23" s="11">
        <f>SUM(Wedstrijden_beheer!AN3:'Wedstrijden_beheer'!AN194)</f>
        <v>63</v>
      </c>
      <c r="D23" s="11">
        <f>Bonus_beheer!AM17</f>
        <v>0</v>
      </c>
      <c r="E23" s="11">
        <f>C23+D23</f>
        <v>63</v>
      </c>
    </row>
    <row r="24" spans="1:5" x14ac:dyDescent="0.2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57</v>
      </c>
      <c r="D24" s="11">
        <f>Bonus_beheer!K17</f>
        <v>0</v>
      </c>
      <c r="E24" s="11">
        <f>C24+D24</f>
        <v>57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290</v>
      </c>
      <c r="B1" s="17"/>
    </row>
    <row r="2" spans="1:2" ht="18" customHeight="1" x14ac:dyDescent="0.25">
      <c r="A2" s="16" t="s">
        <v>291</v>
      </c>
      <c r="B2" s="16" t="s">
        <v>292</v>
      </c>
    </row>
    <row r="3" spans="1:2" ht="18" customHeight="1" x14ac:dyDescent="0.25">
      <c r="A3" s="1" t="s">
        <v>293</v>
      </c>
      <c r="B3" s="1" t="s">
        <v>294</v>
      </c>
    </row>
    <row r="4" spans="1:2" ht="18" customHeight="1" x14ac:dyDescent="0.25">
      <c r="A4" s="1" t="s">
        <v>295</v>
      </c>
      <c r="B4" s="1" t="s">
        <v>294</v>
      </c>
    </row>
    <row r="5" spans="1:2" ht="18" customHeight="1" x14ac:dyDescent="0.25">
      <c r="A5" s="1" t="s">
        <v>296</v>
      </c>
      <c r="B5" s="1" t="s">
        <v>297</v>
      </c>
    </row>
    <row r="6" spans="1:2" ht="18" customHeight="1" x14ac:dyDescent="0.25">
      <c r="A6" s="1" t="s">
        <v>298</v>
      </c>
      <c r="B6" s="1" t="s">
        <v>299</v>
      </c>
    </row>
    <row r="7" spans="1:2" ht="18" customHeight="1" x14ac:dyDescent="0.25">
      <c r="A7" s="1" t="s">
        <v>300</v>
      </c>
      <c r="B7" s="1" t="s">
        <v>301</v>
      </c>
    </row>
    <row r="8" spans="1:2" ht="18" customHeight="1" x14ac:dyDescent="0.25">
      <c r="A8" s="1" t="s">
        <v>302</v>
      </c>
      <c r="B8" s="1" t="s">
        <v>303</v>
      </c>
    </row>
    <row r="9" spans="1:2" ht="18" customHeight="1" x14ac:dyDescent="0.2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291</v>
      </c>
      <c r="B2" s="16" t="s">
        <v>28</v>
      </c>
      <c r="C2" s="16" t="s">
        <v>307</v>
      </c>
    </row>
    <row r="3" spans="1:44" ht="18" customHeight="1" x14ac:dyDescent="0.25">
      <c r="A3" s="1" t="s">
        <v>308</v>
      </c>
      <c r="B3" s="1">
        <v>10</v>
      </c>
      <c r="C3" s="1" t="s">
        <v>309</v>
      </c>
    </row>
    <row r="4" spans="1:44" ht="18" customHeight="1" x14ac:dyDescent="0.25">
      <c r="A4" s="1" t="s">
        <v>310</v>
      </c>
      <c r="B4" s="1">
        <v>5</v>
      </c>
      <c r="C4" s="1" t="s">
        <v>311</v>
      </c>
    </row>
    <row r="5" spans="1:44" ht="18" customHeight="1" x14ac:dyDescent="0.25">
      <c r="A5" s="1" t="s">
        <v>312</v>
      </c>
      <c r="B5" s="1">
        <v>2</v>
      </c>
      <c r="C5" s="1" t="s">
        <v>313</v>
      </c>
    </row>
    <row r="6" spans="1:44" ht="18" customHeight="1" x14ac:dyDescent="0.25">
      <c r="A6" s="1" t="s">
        <v>314</v>
      </c>
      <c r="B6" s="1">
        <v>2</v>
      </c>
      <c r="C6" s="1" t="s">
        <v>315</v>
      </c>
    </row>
    <row r="7" spans="1:44" ht="18" customHeight="1" x14ac:dyDescent="0.25">
      <c r="A7" s="1" t="s">
        <v>316</v>
      </c>
      <c r="B7" s="1">
        <v>2</v>
      </c>
      <c r="C7" s="1" t="s">
        <v>317</v>
      </c>
    </row>
    <row r="8" spans="1:44" ht="18" customHeight="1" x14ac:dyDescent="0.2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319</v>
      </c>
      <c r="B1" s="26" t="s">
        <v>320</v>
      </c>
      <c r="C1" s="26" t="s">
        <v>321</v>
      </c>
    </row>
    <row r="2" spans="1:3" x14ac:dyDescent="0.25">
      <c r="A2" t="s">
        <v>322</v>
      </c>
      <c r="B2" t="s">
        <v>22</v>
      </c>
    </row>
    <row r="3" spans="1:3" x14ac:dyDescent="0.25">
      <c r="B3" t="s">
        <v>23</v>
      </c>
    </row>
    <row r="4" spans="1:3" x14ac:dyDescent="0.25">
      <c r="B4" t="s">
        <v>24</v>
      </c>
    </row>
    <row r="5" spans="1:3" x14ac:dyDescent="0.25">
      <c r="B5" t="s">
        <v>323</v>
      </c>
    </row>
    <row r="6" spans="1:3" x14ac:dyDescent="0.25">
      <c r="B6" t="s">
        <v>20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3" x14ac:dyDescent="0.25">
      <c r="B17" t="s">
        <v>5</v>
      </c>
    </row>
    <row r="18" spans="2:3" x14ac:dyDescent="0.25">
      <c r="B18" t="s">
        <v>4</v>
      </c>
    </row>
    <row r="19" spans="2:3" x14ac:dyDescent="0.25">
      <c r="B19" t="s">
        <v>21</v>
      </c>
    </row>
    <row r="20" spans="2:3" x14ac:dyDescent="0.25">
      <c r="B20" t="s">
        <v>14</v>
      </c>
    </row>
    <row r="21" spans="2:3" x14ac:dyDescent="0.25">
      <c r="B21" t="s">
        <v>13</v>
      </c>
    </row>
    <row r="22" spans="2:3" x14ac:dyDescent="0.25">
      <c r="B22" t="s">
        <v>18</v>
      </c>
    </row>
    <row r="23" spans="2:3" x14ac:dyDescent="0.25">
      <c r="C23" t="s">
        <v>324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purl.org/dc/terms/"/>
    <ds:schemaRef ds:uri="7b90d758-d430-4ffd-9227-0f539ac48821"/>
    <ds:schemaRef ds:uri="7c2036e6-2c6c-4cc0-93d3-66cc911cb0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2026-06-17T06:10:39Z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