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19" documentId="8_{E82BF418-5EC5-4A9D-9227-B9F99AE92E74}" xr6:coauthVersionLast="47" xr6:coauthVersionMax="47" xr10:uidLastSave="{B1DC7F51-233E-4AB8-A0B0-E61B70A7C02D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3" i="3"/>
  <c r="B3" i="3"/>
  <c r="B14" i="3"/>
  <c r="B8" i="3"/>
  <c r="B13" i="3"/>
  <c r="B21" i="3"/>
  <c r="B9" i="3"/>
  <c r="B16" i="3"/>
  <c r="B11" i="3"/>
  <c r="B5" i="3"/>
  <c r="B20" i="3"/>
  <c r="B22" i="3"/>
  <c r="B15" i="3"/>
  <c r="B17" i="3"/>
  <c r="D17" i="3"/>
  <c r="B7" i="3"/>
  <c r="B4" i="3"/>
  <c r="B18" i="3"/>
  <c r="B19" i="3"/>
  <c r="B10" i="3"/>
  <c r="B12" i="3"/>
  <c r="B6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62" i="1" l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3" i="3" s="1"/>
  <c r="AK17" i="2"/>
  <c r="D14" i="3" s="1"/>
  <c r="AM17" i="2"/>
  <c r="D15" i="3" s="1"/>
  <c r="AI17" i="2"/>
  <c r="D22" i="3" s="1"/>
  <c r="AO17" i="2"/>
  <c r="D5" i="3" s="1"/>
  <c r="AA17" i="2"/>
  <c r="D4" i="3" s="1"/>
  <c r="AC17" i="2"/>
  <c r="D19" i="3" s="1"/>
  <c r="AE17" i="2"/>
  <c r="D10" i="3" s="1"/>
  <c r="AG17" i="2"/>
  <c r="D9" i="3" s="1"/>
  <c r="E17" i="2"/>
  <c r="D11" i="3" s="1"/>
  <c r="I17" i="2"/>
  <c r="D6" i="3" s="1"/>
  <c r="K17" i="2"/>
  <c r="D20" i="3" s="1"/>
  <c r="M17" i="2"/>
  <c r="D18" i="3" s="1"/>
  <c r="G17" i="2"/>
  <c r="D12" i="3" s="1"/>
  <c r="O17" i="2"/>
  <c r="D3" i="3" s="1"/>
  <c r="S17" i="2"/>
  <c r="D21" i="3" s="1"/>
  <c r="U17" i="2"/>
  <c r="D8" i="3" s="1"/>
  <c r="W17" i="2"/>
  <c r="D13" i="3" s="1"/>
  <c r="Y17" i="2"/>
  <c r="D7" i="3" s="1"/>
  <c r="C16" i="3" l="1"/>
  <c r="C17" i="3"/>
  <c r="C23" i="3"/>
  <c r="C24" i="3"/>
  <c r="C5" i="3"/>
  <c r="C19" i="3"/>
  <c r="C21" i="3"/>
  <c r="C10" i="3"/>
  <c r="C3" i="3"/>
  <c r="E3" i="3" s="1"/>
  <c r="C18" i="3"/>
  <c r="E24" i="3" s="1"/>
  <c r="C22" i="3"/>
  <c r="C11" i="3"/>
  <c r="C13" i="3"/>
  <c r="C20" i="3"/>
  <c r="C14" i="3"/>
  <c r="E23" i="3" s="1"/>
  <c r="C4" i="3"/>
  <c r="C12" i="3"/>
  <c r="C7" i="3"/>
  <c r="C6" i="3"/>
  <c r="C15" i="3"/>
  <c r="E5" i="3" s="1"/>
  <c r="C8" i="3"/>
  <c r="E8" i="3" s="1"/>
  <c r="C9" i="3"/>
  <c r="E18" i="3" s="1"/>
  <c r="E10" i="3" l="1"/>
  <c r="E4" i="3"/>
  <c r="E19" i="3"/>
  <c r="E16" i="3"/>
  <c r="E13" i="3"/>
  <c r="E22" i="3"/>
  <c r="A22" i="3" s="1"/>
  <c r="E11" i="3"/>
  <c r="E14" i="3"/>
  <c r="E12" i="3"/>
  <c r="E7" i="3"/>
  <c r="E21" i="3"/>
  <c r="E6" i="3"/>
  <c r="E20" i="3"/>
  <c r="E15" i="3"/>
  <c r="E9" i="3"/>
  <c r="E17" i="3"/>
  <c r="A15" i="3"/>
  <c r="A6" i="3"/>
  <c r="A17" i="3"/>
  <c r="A9" i="3"/>
  <c r="A11" i="3"/>
  <c r="A7" i="3"/>
  <c r="A20" i="3"/>
  <c r="A3" i="3"/>
  <c r="A5" i="3"/>
  <c r="A24" i="3" l="1"/>
  <c r="A19" i="3"/>
  <c r="A8" i="3"/>
  <c r="A21" i="3"/>
  <c r="A12" i="3"/>
  <c r="A13" i="3"/>
  <c r="A18" i="3"/>
  <c r="A16" i="3"/>
  <c r="A4" i="3"/>
  <c r="A10" i="3"/>
  <c r="A14" i="3"/>
  <c r="A23" i="3"/>
</calcChain>
</file>

<file path=xl/sharedStrings.xml><?xml version="1.0" encoding="utf-8"?>
<sst xmlns="http://schemas.openxmlformats.org/spreadsheetml/2006/main" count="2344" uniqueCount="330">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</sst>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X35" activePane="bottomRight" state="frozen"/>
      <selection pane="topRight"/>
      <selection pane="bottomLeft"/>
      <selection pane="bottomRight" activeCell="C63" sqref="C6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72656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5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192</v>
      </c>
      <c r="D3" s="11">
        <f>Bonus_beheer!O17</f>
        <v>0</v>
      </c>
      <c r="E3" s="11">
        <f>C3+D3</f>
        <v>192</v>
      </c>
    </row>
    <row r="4" spans="1:5" ht="18" customHeight="1" x14ac:dyDescent="0.3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187</v>
      </c>
      <c r="D4" s="11">
        <f>Bonus_beheer!AA17</f>
        <v>0</v>
      </c>
      <c r="E4" s="11">
        <f>C4+D4</f>
        <v>187</v>
      </c>
    </row>
    <row r="5" spans="1:5" ht="18" customHeight="1" x14ac:dyDescent="0.35">
      <c r="A5" s="11">
        <f>_xlfn.RANK.EQ(E5,$E$3:$E$90,0)</f>
        <v>3</v>
      </c>
      <c r="B5" s="1" t="str">
        <f>Wedstrijden_beheer!AO1</f>
        <v>Patrick</v>
      </c>
      <c r="C5" s="11">
        <f>SUM(Wedstrijden_beheer!AP3:'Wedstrijden_beheer'!AP194)</f>
        <v>185</v>
      </c>
      <c r="D5" s="11">
        <f>Bonus_beheer!AO17</f>
        <v>0</v>
      </c>
      <c r="E5" s="11">
        <f>C5+D5</f>
        <v>185</v>
      </c>
    </row>
    <row r="6" spans="1:5" ht="18" customHeight="1" x14ac:dyDescent="0.35">
      <c r="A6" s="11">
        <f>_xlfn.RANK.EQ(E6,$E$3:$E$90,0)</f>
        <v>4</v>
      </c>
      <c r="B6" s="1" t="str">
        <f>Wedstrijden_beheer!I1</f>
        <v>Abdussamed</v>
      </c>
      <c r="C6" s="11">
        <f>SUM(Wedstrijden_beheer!J3:'Wedstrijden_beheer'!J194)</f>
        <v>184</v>
      </c>
      <c r="D6" s="11">
        <f>Bonus_beheer!I17</f>
        <v>0</v>
      </c>
      <c r="E6" s="11">
        <f>C6+D6</f>
        <v>184</v>
      </c>
    </row>
    <row r="7" spans="1:5" ht="18" customHeight="1" x14ac:dyDescent="0.35">
      <c r="A7" s="11">
        <f>_xlfn.RANK.EQ(E7,$E$3:$E$90,0)</f>
        <v>5</v>
      </c>
      <c r="B7" s="1" t="str">
        <f>Wedstrijden_beheer!Y1</f>
        <v>Lesley</v>
      </c>
      <c r="C7" s="11">
        <f>SUM(Wedstrijden_beheer!Z3:'Wedstrijden_beheer'!Z194)</f>
        <v>183</v>
      </c>
      <c r="D7" s="11">
        <f>Bonus_beheer!Y17</f>
        <v>0</v>
      </c>
      <c r="E7" s="11">
        <f>C7+D7</f>
        <v>183</v>
      </c>
    </row>
    <row r="8" spans="1:5" ht="18" customHeight="1" x14ac:dyDescent="0.35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177</v>
      </c>
      <c r="D8" s="11">
        <f>Bonus_beheer!U17</f>
        <v>0</v>
      </c>
      <c r="E8" s="11">
        <f>C8+D8</f>
        <v>177</v>
      </c>
    </row>
    <row r="9" spans="1:5" ht="18" customHeight="1" x14ac:dyDescent="0.35">
      <c r="A9" s="11">
        <f>_xlfn.RANK.EQ(E9,$E$3:$E$90,0)</f>
        <v>6</v>
      </c>
      <c r="B9" s="1" t="str">
        <f>Wedstrijden_beheer!AG1</f>
        <v>Erwin</v>
      </c>
      <c r="C9" s="11">
        <f>SUM(Wedstrijden_beheer!AH3:'Wedstrijden_beheer'!AH194)</f>
        <v>177</v>
      </c>
      <c r="D9" s="11">
        <f>Bonus_beheer!AG17</f>
        <v>0</v>
      </c>
      <c r="E9" s="11">
        <f>C9+D9</f>
        <v>177</v>
      </c>
    </row>
    <row r="10" spans="1:5" ht="18" customHeight="1" x14ac:dyDescent="0.35">
      <c r="A10" s="11">
        <f>_xlfn.RANK.EQ(E10,$E$3:$E$90,0)</f>
        <v>8</v>
      </c>
      <c r="B10" s="1" t="str">
        <f>Wedstrijden_beheer!AE1</f>
        <v>Jeroen</v>
      </c>
      <c r="C10" s="11">
        <f>SUM(Wedstrijden_beheer!AF3:'Wedstrijden_beheer'!AF194)</f>
        <v>175</v>
      </c>
      <c r="D10" s="11">
        <f>Bonus_beheer!AE17</f>
        <v>0</v>
      </c>
      <c r="E10" s="11">
        <f>C10+D10</f>
        <v>175</v>
      </c>
    </row>
    <row r="11" spans="1:5" ht="18" customHeight="1" x14ac:dyDescent="0.35">
      <c r="A11" s="11">
        <f>_xlfn.RANK.EQ(E11,$E$3:$E$90,0)</f>
        <v>8</v>
      </c>
      <c r="B11" s="1" t="str">
        <f>Wedstrijden_beheer!E1</f>
        <v>Roland</v>
      </c>
      <c r="C11" s="11">
        <f>SUM(Wedstrijden_beheer!F3:'Wedstrijden_beheer'!F194)</f>
        <v>175</v>
      </c>
      <c r="D11" s="11">
        <f>Bonus_beheer!E17</f>
        <v>0</v>
      </c>
      <c r="E11" s="11">
        <f>C11+D11</f>
        <v>175</v>
      </c>
    </row>
    <row r="12" spans="1:5" ht="18" customHeight="1" x14ac:dyDescent="0.35">
      <c r="A12" s="11">
        <f>_xlfn.RANK.EQ(E12,$E$3:$E$90,0)</f>
        <v>10</v>
      </c>
      <c r="B12" s="1" t="str">
        <f>Wedstrijden_beheer!G1</f>
        <v>Nikki</v>
      </c>
      <c r="C12" s="11">
        <f>SUM(Wedstrijden_beheer!H3:'Wedstrijden_beheer'!H194)</f>
        <v>174</v>
      </c>
      <c r="D12" s="11">
        <f>Bonus_beheer!G17</f>
        <v>0</v>
      </c>
      <c r="E12" s="11">
        <f>C12+D12</f>
        <v>174</v>
      </c>
    </row>
    <row r="13" spans="1:5" ht="18" customHeight="1" x14ac:dyDescent="0.35">
      <c r="A13" s="11">
        <f>_xlfn.RANK.EQ(E13,$E$3:$E$90,0)</f>
        <v>11</v>
      </c>
      <c r="B13" s="1" t="str">
        <f>Wedstrijden_beheer!W1</f>
        <v>Jos</v>
      </c>
      <c r="C13" s="11">
        <f>SUM(Wedstrijden_beheer!X3:'Wedstrijden_beheer'!X194)</f>
        <v>168</v>
      </c>
      <c r="D13" s="11">
        <f>Bonus_beheer!W17</f>
        <v>0</v>
      </c>
      <c r="E13" s="11">
        <f>C13+D13</f>
        <v>168</v>
      </c>
    </row>
    <row r="14" spans="1:5" ht="18" customHeight="1" x14ac:dyDescent="0.35">
      <c r="A14" s="11">
        <f>_xlfn.RANK.EQ(E14,$E$3:$E$90,0)</f>
        <v>12</v>
      </c>
      <c r="B14" s="1" t="str">
        <f>Wedstrijden_beheer!AK1</f>
        <v>Kim</v>
      </c>
      <c r="C14" s="11">
        <f>SUM(Wedstrijden_beheer!AL3:'Wedstrijden_beheer'!AL194)</f>
        <v>167</v>
      </c>
      <c r="D14" s="11">
        <f>Bonus_beheer!AK17</f>
        <v>0</v>
      </c>
      <c r="E14" s="11">
        <f>C14+D14</f>
        <v>167</v>
      </c>
    </row>
    <row r="15" spans="1:5" ht="18" customHeight="1" x14ac:dyDescent="0.35">
      <c r="A15" s="11">
        <f>_xlfn.RANK.EQ(E15,$E$3:$E$90,0)</f>
        <v>13</v>
      </c>
      <c r="B15" s="1" t="str">
        <f>Wedstrijden_beheer!AM1</f>
        <v>Kristel</v>
      </c>
      <c r="C15" s="11">
        <f>SUM(Wedstrijden_beheer!AN3:'Wedstrijden_beheer'!AN194)</f>
        <v>165</v>
      </c>
      <c r="D15" s="11">
        <f>Bonus_beheer!AM17</f>
        <v>0</v>
      </c>
      <c r="E15" s="11">
        <f>C15+D15</f>
        <v>165</v>
      </c>
    </row>
    <row r="16" spans="1:5" ht="18" customHeight="1" x14ac:dyDescent="0.35">
      <c r="A16" s="11">
        <f>_xlfn.RANK.EQ(E16,$E$3:$E$90,0)</f>
        <v>14</v>
      </c>
      <c r="B16" s="1" t="str">
        <f>Wedstrijden_beheer!AU1</f>
        <v>Raymond</v>
      </c>
      <c r="C16" s="11">
        <f>SUM(Wedstrijden_beheer!AV3:'Wedstrijden_beheer'!AV194)</f>
        <v>161</v>
      </c>
      <c r="D16" s="11">
        <f>Bonus_beheer!AU17</f>
        <v>0</v>
      </c>
      <c r="E16" s="11">
        <f>C16+D16</f>
        <v>161</v>
      </c>
    </row>
    <row r="17" spans="1:5" ht="18" customHeight="1" x14ac:dyDescent="0.35">
      <c r="A17" s="11">
        <f>_xlfn.RANK.EQ(E17,$E$3:$E$90,0)</f>
        <v>14</v>
      </c>
      <c r="B17" s="1" t="str">
        <f>Wedstrijden_beheer!AQ1</f>
        <v>Jeno</v>
      </c>
      <c r="C17" s="11">
        <f>SUM(Wedstrijden_beheer!AV4:'Wedstrijden_beheer'!AV195)</f>
        <v>161</v>
      </c>
      <c r="D17" s="11">
        <f>Bonus_beheer!AU18</f>
        <v>0</v>
      </c>
      <c r="E17" s="11">
        <f>C17+D17</f>
        <v>161</v>
      </c>
    </row>
    <row r="18" spans="1:5" ht="18" customHeight="1" x14ac:dyDescent="0.3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159</v>
      </c>
      <c r="D18" s="11">
        <f>Bonus_beheer!M17</f>
        <v>0</v>
      </c>
      <c r="E18" s="11">
        <f>C18+D18</f>
        <v>159</v>
      </c>
    </row>
    <row r="19" spans="1:5" ht="18" customHeight="1" x14ac:dyDescent="0.3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153</v>
      </c>
      <c r="D19" s="11">
        <f>Bonus_beheer!AC17</f>
        <v>0</v>
      </c>
      <c r="E19" s="11">
        <f>C19+D19</f>
        <v>153</v>
      </c>
    </row>
    <row r="20" spans="1:5" ht="18" customHeight="1" x14ac:dyDescent="0.3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142</v>
      </c>
      <c r="D20" s="11">
        <f>Bonus_beheer!K17</f>
        <v>0</v>
      </c>
      <c r="E20" s="11">
        <f>C20+D20</f>
        <v>142</v>
      </c>
    </row>
    <row r="21" spans="1:5" ht="18" customHeight="1" x14ac:dyDescent="0.35">
      <c r="A21" s="11">
        <f>_xlfn.RANK.EQ(E21,$E$3:$E$90,0)</f>
        <v>19</v>
      </c>
      <c r="B21" s="1" t="str">
        <f>Wedstrijden_beheer!S1</f>
        <v>Marc</v>
      </c>
      <c r="C21" s="11">
        <f>SUM(Wedstrijden_beheer!T3:'Wedstrijden_beheer'!T194)</f>
        <v>137</v>
      </c>
      <c r="D21" s="11">
        <f>Bonus_beheer!S17</f>
        <v>0</v>
      </c>
      <c r="E21" s="11">
        <f>C21+D21</f>
        <v>137</v>
      </c>
    </row>
    <row r="22" spans="1:5" ht="18" customHeight="1" x14ac:dyDescent="0.35">
      <c r="A22" s="11">
        <f>_xlfn.RANK.EQ(E22,$E$3:$E$90,0)</f>
        <v>20</v>
      </c>
      <c r="B22" s="1" t="str">
        <f>Wedstrijden_beheer!AI1</f>
        <v>Tim</v>
      </c>
      <c r="C22" s="11">
        <f>SUM(Wedstrijden_beheer!AJ3:'Wedstrijden_beheer'!AJ194)</f>
        <v>136</v>
      </c>
      <c r="D22" s="11">
        <f>Bonus_beheer!AI17</f>
        <v>0</v>
      </c>
      <c r="E22" s="11">
        <f>C22+D22</f>
        <v>136</v>
      </c>
    </row>
    <row r="23" spans="1:5" x14ac:dyDescent="0.35">
      <c r="A23" s="11">
        <f>_xlfn.RANK.EQ(E23,$E$3:$E$90,0)</f>
        <v>21</v>
      </c>
      <c r="B23" s="1" t="str">
        <f>Wedstrijden_beheer!Q1</f>
        <v>Simone</v>
      </c>
      <c r="C23" s="11">
        <f>SUM(Wedstrijden_beheer!R3:'Wedstrijden_beheer'!R194)</f>
        <v>128</v>
      </c>
      <c r="D23" s="11">
        <f>Bonus_beheer!Q17</f>
        <v>0</v>
      </c>
      <c r="E23" s="11">
        <f>C23+D23</f>
        <v>128</v>
      </c>
    </row>
    <row r="24" spans="1:5" x14ac:dyDescent="0.35">
      <c r="A24" s="11">
        <f>_xlfn.RANK.EQ(E24,$E$3:$E$90,0)</f>
        <v>21</v>
      </c>
      <c r="B24" s="1" t="str">
        <f>Wedstrijden_beheer!AS1</f>
        <v>Andre</v>
      </c>
      <c r="C24" s="11">
        <f>SUM(Wedstrijden_beheer!R4:'Wedstrijden_beheer'!R195)</f>
        <v>128</v>
      </c>
      <c r="D24" s="11">
        <f>Bonus_beheer!Q18</f>
        <v>0</v>
      </c>
      <c r="E24" s="11">
        <f>C24+D24</f>
        <v>128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323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324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terms/"/>
    <ds:schemaRef ds:uri="7b90d758-d430-4ffd-9227-0f539ac48821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7c2036e6-2c6c-4cc0-93d3-66cc911cb074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2026-06-22T05:51:37Z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