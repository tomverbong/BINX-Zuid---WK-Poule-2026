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1597" documentId="8_{E82BF418-5EC5-4A9D-9227-B9F99AE92E74}" xr6:coauthVersionLast="47" xr6:coauthVersionMax="47" xr10:uidLastSave="{A139B7E2-FCB6-47A2-AD89-7E91D04A02ED}"/>
  <bookViews>
    <workbookView xWindow="-120" yWindow="-120" windowWidth="29040" windowHeight="15720" activeTab="2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  <definedName name="_xlnm._FilterDatabase" localSheetId="0" hidden="1">Wedstrijden_beheer!$A$1:$AX$194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4" i="1"/>
  <c r="AT57" i="1"/>
  <c r="AT60" i="1"/>
  <c r="AT62" i="1"/>
  <c r="AT63" i="1"/>
  <c r="AT65" i="1"/>
  <c r="AT69" i="1"/>
  <c r="AT71" i="1"/>
  <c r="AT72" i="1"/>
  <c r="AT73" i="1"/>
  <c r="AT74" i="1"/>
  <c r="AT75" i="1"/>
  <c r="AT81" i="1"/>
  <c r="AT84" i="1"/>
  <c r="AT87" i="1"/>
  <c r="AT88" i="1"/>
  <c r="AT89" i="1"/>
  <c r="AT94" i="1"/>
  <c r="AT95" i="1"/>
  <c r="AT97" i="1"/>
  <c r="AT105" i="1"/>
  <c r="AT108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4" i="1"/>
  <c r="AV60" i="1"/>
  <c r="AV62" i="1"/>
  <c r="AV68" i="1"/>
  <c r="AV71" i="1"/>
  <c r="AV72" i="1"/>
  <c r="AV74" i="1"/>
  <c r="AV80" i="1"/>
  <c r="AV83" i="1"/>
  <c r="AV84" i="1"/>
  <c r="AV85" i="1"/>
  <c r="AV87" i="1"/>
  <c r="AV88" i="1"/>
  <c r="AV91" i="1"/>
  <c r="AV96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2" i="3"/>
  <c r="B11" i="3"/>
  <c r="B9" i="3"/>
  <c r="B4" i="3"/>
  <c r="B14" i="3"/>
  <c r="B24" i="3"/>
  <c r="B12" i="3"/>
  <c r="B15" i="3"/>
  <c r="B3" i="3"/>
  <c r="B6" i="3"/>
  <c r="B20" i="3"/>
  <c r="B21" i="3"/>
  <c r="B13" i="3"/>
  <c r="B16" i="3"/>
  <c r="D16" i="3"/>
  <c r="B10" i="3"/>
  <c r="B8" i="3"/>
  <c r="B18" i="3"/>
  <c r="B19" i="3"/>
  <c r="B5" i="3"/>
  <c r="B17" i="3"/>
  <c r="B7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50" i="1"/>
  <c r="AR54" i="1"/>
  <c r="AR57" i="1"/>
  <c r="AR62" i="1"/>
  <c r="AR63" i="1"/>
  <c r="AR68" i="1"/>
  <c r="AR69" i="1"/>
  <c r="AR75" i="1"/>
  <c r="AR80" i="1"/>
  <c r="AR81" i="1"/>
  <c r="AR83" i="1"/>
  <c r="AR84" i="1"/>
  <c r="AR85" i="1"/>
  <c r="AR87" i="1"/>
  <c r="AR88" i="1"/>
  <c r="AR89" i="1"/>
  <c r="AR91" i="1"/>
  <c r="AR93" i="1"/>
  <c r="AR96" i="1"/>
  <c r="AR97" i="1"/>
  <c r="AR105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Z49" i="1" s="1"/>
  <c r="AX49" i="1"/>
  <c r="X49" i="1" s="1"/>
  <c r="AW52" i="1"/>
  <c r="N52" i="1" s="1"/>
  <c r="AX52" i="1"/>
  <c r="AW53" i="1"/>
  <c r="Z53" i="1" s="1"/>
  <c r="AX53" i="1"/>
  <c r="AW54" i="1"/>
  <c r="AX54" i="1"/>
  <c r="AF54" i="1" s="1"/>
  <c r="AW55" i="1"/>
  <c r="AV55" i="1" s="1"/>
  <c r="AX55" i="1"/>
  <c r="AW56" i="1"/>
  <c r="H56" i="1" s="1"/>
  <c r="AX56" i="1"/>
  <c r="AW59" i="1"/>
  <c r="Z59" i="1" s="1"/>
  <c r="AX59" i="1"/>
  <c r="AW60" i="1"/>
  <c r="N60" i="1" s="1"/>
  <c r="AX60" i="1"/>
  <c r="AR60" i="1" s="1"/>
  <c r="AW61" i="1"/>
  <c r="AV61" i="1" s="1"/>
  <c r="AX61" i="1"/>
  <c r="X61" i="1" s="1"/>
  <c r="AW62" i="1"/>
  <c r="AF62" i="1" s="1"/>
  <c r="AX62" i="1"/>
  <c r="F62" i="1" s="1"/>
  <c r="AW65" i="1"/>
  <c r="AN65" i="1" s="1"/>
  <c r="AX65" i="1"/>
  <c r="J65" i="1" s="1"/>
  <c r="AW66" i="1"/>
  <c r="AV66" i="1" s="1"/>
  <c r="AX66" i="1"/>
  <c r="H66" i="1" s="1"/>
  <c r="AW67" i="1"/>
  <c r="AX67" i="1"/>
  <c r="H67" i="1" s="1"/>
  <c r="AW68" i="1"/>
  <c r="AL68" i="1" s="1"/>
  <c r="AX68" i="1"/>
  <c r="AW71" i="1"/>
  <c r="AH71" i="1" s="1"/>
  <c r="AX71" i="1"/>
  <c r="V71" i="1" s="1"/>
  <c r="AW72" i="1"/>
  <c r="AP72" i="1" s="1"/>
  <c r="AX72" i="1"/>
  <c r="AR72" i="1" s="1"/>
  <c r="AW73" i="1"/>
  <c r="AV73" i="1" s="1"/>
  <c r="AX73" i="1"/>
  <c r="AW74" i="1"/>
  <c r="R74" i="1" s="1"/>
  <c r="AX74" i="1"/>
  <c r="Z74" i="1" s="1"/>
  <c r="AW77" i="1"/>
  <c r="F77" i="1" s="1"/>
  <c r="AX77" i="1"/>
  <c r="X77" i="1" s="1"/>
  <c r="AW78" i="1"/>
  <c r="AN78" i="1" s="1"/>
  <c r="AX78" i="1"/>
  <c r="AF78" i="1" s="1"/>
  <c r="AW79" i="1"/>
  <c r="AV79" i="1" s="1"/>
  <c r="AX79" i="1"/>
  <c r="AW80" i="1"/>
  <c r="AP80" i="1" s="1"/>
  <c r="AX80" i="1"/>
  <c r="X80" i="1" s="1"/>
  <c r="AW83" i="1"/>
  <c r="L83" i="1" s="1"/>
  <c r="AX83" i="1"/>
  <c r="AW84" i="1"/>
  <c r="AN84" i="1" s="1"/>
  <c r="AX84" i="1"/>
  <c r="AL84" i="1" s="1"/>
  <c r="AW85" i="1"/>
  <c r="AL85" i="1" s="1"/>
  <c r="AX85" i="1"/>
  <c r="H85" i="1" s="1"/>
  <c r="AW86" i="1"/>
  <c r="AP86" i="1" s="1"/>
  <c r="AX86" i="1"/>
  <c r="AW87" i="1"/>
  <c r="AX87" i="1"/>
  <c r="AP87" i="1" s="1"/>
  <c r="AW88" i="1"/>
  <c r="AN88" i="1" s="1"/>
  <c r="AX88" i="1"/>
  <c r="AH88" i="1" s="1"/>
  <c r="AW91" i="1"/>
  <c r="AP91" i="1" s="1"/>
  <c r="AX91" i="1"/>
  <c r="AN91" i="1" s="1"/>
  <c r="AW92" i="1"/>
  <c r="AR92" i="1" s="1"/>
  <c r="AX92" i="1"/>
  <c r="AW93" i="1"/>
  <c r="AP93" i="1" s="1"/>
  <c r="AX93" i="1"/>
  <c r="AF93" i="1" s="1"/>
  <c r="AW94" i="1"/>
  <c r="AH94" i="1" s="1"/>
  <c r="AX94" i="1"/>
  <c r="V94" i="1" s="1"/>
  <c r="AW95" i="1"/>
  <c r="AN95" i="1" s="1"/>
  <c r="AX95" i="1"/>
  <c r="AW96" i="1"/>
  <c r="AN96" i="1" s="1"/>
  <c r="AX96" i="1"/>
  <c r="AJ96" i="1" s="1"/>
  <c r="AW99" i="1"/>
  <c r="J99" i="1" s="1"/>
  <c r="AX99" i="1"/>
  <c r="AW100" i="1"/>
  <c r="N100" i="1" s="1"/>
  <c r="AX100" i="1"/>
  <c r="R100" i="1" s="1"/>
  <c r="AW101" i="1"/>
  <c r="R101" i="1" s="1"/>
  <c r="AX101" i="1"/>
  <c r="F101" i="1" s="1"/>
  <c r="AW102" i="1"/>
  <c r="V102" i="1" s="1"/>
  <c r="AX102" i="1"/>
  <c r="AD102" i="1" s="1"/>
  <c r="AW103" i="1"/>
  <c r="Z103" i="1" s="1"/>
  <c r="AX103" i="1"/>
  <c r="X103" i="1" s="1"/>
  <c r="AW104" i="1"/>
  <c r="AD104" i="1" s="1"/>
  <c r="AX104" i="1"/>
  <c r="AT104" i="1" s="1"/>
  <c r="AW107" i="1"/>
  <c r="AH107" i="1" s="1"/>
  <c r="AX107" i="1"/>
  <c r="J107" i="1" s="1"/>
  <c r="AW108" i="1"/>
  <c r="AL108" i="1" s="1"/>
  <c r="AX108" i="1"/>
  <c r="V108" i="1" s="1"/>
  <c r="AW109" i="1"/>
  <c r="AN109" i="1" s="1"/>
  <c r="AX109" i="1"/>
  <c r="AJ109" i="1" s="1"/>
  <c r="AW110" i="1"/>
  <c r="AD110" i="1" s="1"/>
  <c r="AX110" i="1"/>
  <c r="Z110" i="1" s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4" i="1"/>
  <c r="F59" i="1"/>
  <c r="F60" i="1"/>
  <c r="F61" i="1"/>
  <c r="F72" i="1"/>
  <c r="F74" i="1"/>
  <c r="F78" i="1"/>
  <c r="F80" i="1"/>
  <c r="F84" i="1"/>
  <c r="F93" i="1"/>
  <c r="F94" i="1"/>
  <c r="F109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R110" i="1"/>
  <c r="P110" i="1"/>
  <c r="N110" i="1"/>
  <c r="L110" i="1"/>
  <c r="J110" i="1"/>
  <c r="H110" i="1"/>
  <c r="AP109" i="1"/>
  <c r="AH109" i="1"/>
  <c r="Z109" i="1"/>
  <c r="X109" i="1"/>
  <c r="V109" i="1"/>
  <c r="T109" i="1"/>
  <c r="J109" i="1"/>
  <c r="H109" i="1"/>
  <c r="AP108" i="1"/>
  <c r="AN108" i="1"/>
  <c r="T108" i="1"/>
  <c r="R108" i="1"/>
  <c r="P108" i="1"/>
  <c r="N108" i="1"/>
  <c r="AP107" i="1"/>
  <c r="AN107" i="1"/>
  <c r="AL107" i="1"/>
  <c r="AJ107" i="1"/>
  <c r="AN104" i="1"/>
  <c r="AL104" i="1"/>
  <c r="AJ104" i="1"/>
  <c r="AH104" i="1"/>
  <c r="AF104" i="1"/>
  <c r="AN103" i="1"/>
  <c r="AL103" i="1"/>
  <c r="AF103" i="1"/>
  <c r="AB103" i="1"/>
  <c r="P103" i="1"/>
  <c r="H103" i="1"/>
  <c r="AB102" i="1"/>
  <c r="Z102" i="1"/>
  <c r="X102" i="1"/>
  <c r="V101" i="1"/>
  <c r="T101" i="1"/>
  <c r="P100" i="1"/>
  <c r="L99" i="1"/>
  <c r="P96" i="1"/>
  <c r="N96" i="1"/>
  <c r="L96" i="1"/>
  <c r="J96" i="1"/>
  <c r="X95" i="1"/>
  <c r="V95" i="1"/>
  <c r="H95" i="1"/>
  <c r="AL94" i="1"/>
  <c r="AJ94" i="1"/>
  <c r="AF94" i="1"/>
  <c r="AD94" i="1"/>
  <c r="Z94" i="1"/>
  <c r="T94" i="1"/>
  <c r="R94" i="1"/>
  <c r="P94" i="1"/>
  <c r="N94" i="1"/>
  <c r="L94" i="1"/>
  <c r="H94" i="1"/>
  <c r="AL93" i="1"/>
  <c r="AD93" i="1"/>
  <c r="X93" i="1"/>
  <c r="V93" i="1"/>
  <c r="P93" i="1"/>
  <c r="AL91" i="1"/>
  <c r="AP88" i="1"/>
  <c r="AF88" i="1"/>
  <c r="AD88" i="1"/>
  <c r="AB88" i="1"/>
  <c r="T88" i="1"/>
  <c r="R88" i="1"/>
  <c r="J88" i="1"/>
  <c r="H88" i="1"/>
  <c r="AJ87" i="1"/>
  <c r="AH87" i="1"/>
  <c r="AF87" i="1"/>
  <c r="AB87" i="1"/>
  <c r="Z87" i="1"/>
  <c r="X87" i="1"/>
  <c r="V87" i="1"/>
  <c r="T87" i="1"/>
  <c r="R87" i="1"/>
  <c r="P87" i="1"/>
  <c r="N87" i="1"/>
  <c r="L87" i="1"/>
  <c r="J87" i="1"/>
  <c r="H87" i="1"/>
  <c r="AP85" i="1"/>
  <c r="AN85" i="1"/>
  <c r="AP84" i="1"/>
  <c r="AJ84" i="1"/>
  <c r="AH84" i="1"/>
  <c r="AF84" i="1"/>
  <c r="AD84" i="1"/>
  <c r="AB84" i="1"/>
  <c r="T84" i="1"/>
  <c r="R84" i="1"/>
  <c r="L84" i="1"/>
  <c r="J84" i="1"/>
  <c r="H84" i="1"/>
  <c r="AN83" i="1"/>
  <c r="AD83" i="1"/>
  <c r="AB83" i="1"/>
  <c r="Z83" i="1"/>
  <c r="X83" i="1"/>
  <c r="V83" i="1"/>
  <c r="T83" i="1"/>
  <c r="R83" i="1"/>
  <c r="P83" i="1"/>
  <c r="N83" i="1"/>
  <c r="V80" i="1"/>
  <c r="T80" i="1"/>
  <c r="R80" i="1"/>
  <c r="P80" i="1"/>
  <c r="N80" i="1"/>
  <c r="L80" i="1"/>
  <c r="H80" i="1"/>
  <c r="AP78" i="1"/>
  <c r="AP77" i="1"/>
  <c r="AN77" i="1"/>
  <c r="AL77" i="1"/>
  <c r="AJ77" i="1"/>
  <c r="P77" i="1"/>
  <c r="N77" i="1"/>
  <c r="H77" i="1"/>
  <c r="AP74" i="1"/>
  <c r="AN74" i="1"/>
  <c r="AL74" i="1"/>
  <c r="AJ74" i="1"/>
  <c r="AH74" i="1"/>
  <c r="AF74" i="1"/>
  <c r="AD74" i="1"/>
  <c r="AB74" i="1"/>
  <c r="X74" i="1"/>
  <c r="V74" i="1"/>
  <c r="T74" i="1"/>
  <c r="AP73" i="1"/>
  <c r="AN73" i="1"/>
  <c r="AL73" i="1"/>
  <c r="AD73" i="1"/>
  <c r="AB73" i="1"/>
  <c r="J73" i="1"/>
  <c r="H73" i="1"/>
  <c r="Z72" i="1"/>
  <c r="X72" i="1"/>
  <c r="V72" i="1"/>
  <c r="T72" i="1"/>
  <c r="R72" i="1"/>
  <c r="P72" i="1"/>
  <c r="N72" i="1"/>
  <c r="L72" i="1"/>
  <c r="J72" i="1"/>
  <c r="H72" i="1"/>
  <c r="T71" i="1"/>
  <c r="R71" i="1"/>
  <c r="P71" i="1"/>
  <c r="N71" i="1"/>
  <c r="L71" i="1"/>
  <c r="J71" i="1"/>
  <c r="H71" i="1"/>
  <c r="AP68" i="1"/>
  <c r="AN68" i="1"/>
  <c r="P68" i="1"/>
  <c r="N68" i="1"/>
  <c r="L68" i="1"/>
  <c r="AP65" i="1"/>
  <c r="H65" i="1"/>
  <c r="AP62" i="1"/>
  <c r="AN62" i="1"/>
  <c r="AL62" i="1"/>
  <c r="AJ62" i="1"/>
  <c r="AH62" i="1"/>
  <c r="AB62" i="1"/>
  <c r="Z62" i="1"/>
  <c r="P62" i="1"/>
  <c r="N62" i="1"/>
  <c r="L62" i="1"/>
  <c r="J62" i="1"/>
  <c r="AJ61" i="1"/>
  <c r="AH61" i="1"/>
  <c r="AF61" i="1"/>
  <c r="AD61" i="1"/>
  <c r="AB61" i="1"/>
  <c r="AP60" i="1"/>
  <c r="AN60" i="1"/>
  <c r="AL60" i="1"/>
  <c r="AJ60" i="1"/>
  <c r="AH60" i="1"/>
  <c r="AD60" i="1"/>
  <c r="AB60" i="1"/>
  <c r="Z60" i="1"/>
  <c r="X60" i="1"/>
  <c r="V60" i="1"/>
  <c r="T60" i="1"/>
  <c r="R60" i="1"/>
  <c r="P60" i="1"/>
  <c r="J60" i="1"/>
  <c r="H60" i="1"/>
  <c r="AN59" i="1"/>
  <c r="AD59" i="1"/>
  <c r="AB59" i="1"/>
  <c r="X59" i="1"/>
  <c r="V59" i="1"/>
  <c r="P59" i="1"/>
  <c r="N59" i="1"/>
  <c r="J59" i="1"/>
  <c r="H59" i="1"/>
  <c r="AP56" i="1"/>
  <c r="AN56" i="1"/>
  <c r="AF56" i="1"/>
  <c r="AB56" i="1"/>
  <c r="R56" i="1"/>
  <c r="P56" i="1"/>
  <c r="N56" i="1"/>
  <c r="L56" i="1"/>
  <c r="J56" i="1"/>
  <c r="AP55" i="1"/>
  <c r="AN55" i="1"/>
  <c r="AL55" i="1"/>
  <c r="AJ55" i="1"/>
  <c r="AH55" i="1"/>
  <c r="AF55" i="1"/>
  <c r="AD55" i="1"/>
  <c r="AB55" i="1"/>
  <c r="V55" i="1"/>
  <c r="T55" i="1"/>
  <c r="R55" i="1"/>
  <c r="P55" i="1"/>
  <c r="H55" i="1"/>
  <c r="AP54" i="1"/>
  <c r="AN54" i="1"/>
  <c r="AL54" i="1"/>
  <c r="AJ54" i="1"/>
  <c r="AH54" i="1"/>
  <c r="AD54" i="1"/>
  <c r="AB54" i="1"/>
  <c r="Z54" i="1"/>
  <c r="X54" i="1"/>
  <c r="V54" i="1"/>
  <c r="T54" i="1"/>
  <c r="R54" i="1"/>
  <c r="P54" i="1"/>
  <c r="J54" i="1"/>
  <c r="H54" i="1"/>
  <c r="AN53" i="1"/>
  <c r="AD53" i="1"/>
  <c r="AB53" i="1"/>
  <c r="V53" i="1"/>
  <c r="P53" i="1"/>
  <c r="N53" i="1"/>
  <c r="J53" i="1"/>
  <c r="H53" i="1"/>
  <c r="AP52" i="1"/>
  <c r="AN52" i="1"/>
  <c r="AF52" i="1"/>
  <c r="AB52" i="1"/>
  <c r="R52" i="1"/>
  <c r="P52" i="1"/>
  <c r="J52" i="1"/>
  <c r="AP49" i="1"/>
  <c r="AN49" i="1"/>
  <c r="AL49" i="1"/>
  <c r="AJ49" i="1"/>
  <c r="AH49" i="1"/>
  <c r="AF49" i="1"/>
  <c r="AD49" i="1"/>
  <c r="AB49" i="1"/>
  <c r="V49" i="1"/>
  <c r="T49" i="1"/>
  <c r="R49" i="1"/>
  <c r="P49" i="1"/>
  <c r="N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AV110" i="1" l="1"/>
  <c r="T110" i="1"/>
  <c r="V110" i="1"/>
  <c r="X110" i="1"/>
  <c r="AT110" i="1"/>
  <c r="AB110" i="1"/>
  <c r="AF110" i="1"/>
  <c r="AH110" i="1"/>
  <c r="AJ110" i="1"/>
  <c r="AL110" i="1"/>
  <c r="AR110" i="1"/>
  <c r="AP110" i="1"/>
  <c r="F110" i="1"/>
  <c r="AN110" i="1"/>
  <c r="AV109" i="1"/>
  <c r="L109" i="1"/>
  <c r="N109" i="1"/>
  <c r="P109" i="1"/>
  <c r="R109" i="1"/>
  <c r="AT109" i="1"/>
  <c r="AD109" i="1"/>
  <c r="AR109" i="1"/>
  <c r="AB109" i="1"/>
  <c r="AF109" i="1"/>
  <c r="AL109" i="1"/>
  <c r="AV108" i="1"/>
  <c r="H108" i="1"/>
  <c r="J108" i="1"/>
  <c r="L108" i="1"/>
  <c r="Z108" i="1"/>
  <c r="AB108" i="1"/>
  <c r="AR108" i="1"/>
  <c r="X108" i="1"/>
  <c r="F108" i="1"/>
  <c r="AD108" i="1"/>
  <c r="AF108" i="1"/>
  <c r="AH108" i="1"/>
  <c r="AJ108" i="1"/>
  <c r="AV107" i="1"/>
  <c r="H107" i="1"/>
  <c r="L107" i="1"/>
  <c r="N107" i="1"/>
  <c r="F107" i="1"/>
  <c r="AR107" i="1"/>
  <c r="P107" i="1"/>
  <c r="R107" i="1"/>
  <c r="T107" i="1"/>
  <c r="V107" i="1"/>
  <c r="X107" i="1"/>
  <c r="Z107" i="1"/>
  <c r="AB107" i="1"/>
  <c r="AT107" i="1"/>
  <c r="AD107" i="1"/>
  <c r="AF107" i="1"/>
  <c r="AP104" i="1"/>
  <c r="AV104" i="1"/>
  <c r="F104" i="1"/>
  <c r="P104" i="1"/>
  <c r="R104" i="1"/>
  <c r="T104" i="1"/>
  <c r="V104" i="1"/>
  <c r="X104" i="1"/>
  <c r="Z104" i="1"/>
  <c r="AR104" i="1"/>
  <c r="L104" i="1"/>
  <c r="AB104" i="1"/>
  <c r="H104" i="1"/>
  <c r="J104" i="1"/>
  <c r="N104" i="1"/>
  <c r="AD103" i="1"/>
  <c r="AV103" i="1"/>
  <c r="F103" i="1"/>
  <c r="AP103" i="1"/>
  <c r="AJ103" i="1"/>
  <c r="AR103" i="1"/>
  <c r="AT103" i="1"/>
  <c r="AH103" i="1"/>
  <c r="J103" i="1"/>
  <c r="L103" i="1"/>
  <c r="N103" i="1"/>
  <c r="R103" i="1"/>
  <c r="T103" i="1"/>
  <c r="V103" i="1"/>
  <c r="AF102" i="1"/>
  <c r="AV102" i="1"/>
  <c r="F102" i="1"/>
  <c r="AH102" i="1"/>
  <c r="AJ102" i="1"/>
  <c r="AL102" i="1"/>
  <c r="AN102" i="1"/>
  <c r="AR102" i="1"/>
  <c r="AP102" i="1"/>
  <c r="AT102" i="1"/>
  <c r="H102" i="1"/>
  <c r="L102" i="1"/>
  <c r="J102" i="1"/>
  <c r="N102" i="1"/>
  <c r="P102" i="1"/>
  <c r="R102" i="1"/>
  <c r="T102" i="1"/>
  <c r="X101" i="1"/>
  <c r="AL101" i="1"/>
  <c r="AN101" i="1"/>
  <c r="AV101" i="1"/>
  <c r="Z101" i="1"/>
  <c r="AB101" i="1"/>
  <c r="AD101" i="1"/>
  <c r="AF101" i="1"/>
  <c r="AH101" i="1"/>
  <c r="AJ101" i="1"/>
  <c r="AP101" i="1"/>
  <c r="AT101" i="1"/>
  <c r="H101" i="1"/>
  <c r="AR101" i="1"/>
  <c r="J101" i="1"/>
  <c r="L101" i="1"/>
  <c r="N101" i="1"/>
  <c r="P101" i="1"/>
  <c r="AV100" i="1"/>
  <c r="V100" i="1"/>
  <c r="Z100" i="1"/>
  <c r="AF100" i="1"/>
  <c r="AH100" i="1"/>
  <c r="AJ100" i="1"/>
  <c r="T100" i="1"/>
  <c r="X100" i="1"/>
  <c r="AB100" i="1"/>
  <c r="AL100" i="1"/>
  <c r="AR100" i="1"/>
  <c r="AT100" i="1"/>
  <c r="AP100" i="1"/>
  <c r="AD100" i="1"/>
  <c r="AN100" i="1"/>
  <c r="J100" i="1"/>
  <c r="L100" i="1"/>
  <c r="F100" i="1"/>
  <c r="H100" i="1"/>
  <c r="AF99" i="1"/>
  <c r="V99" i="1"/>
  <c r="N99" i="1"/>
  <c r="AR99" i="1"/>
  <c r="AD99" i="1"/>
  <c r="AT99" i="1"/>
  <c r="T99" i="1"/>
  <c r="AJ99" i="1"/>
  <c r="R99" i="1"/>
  <c r="X99" i="1"/>
  <c r="Z99" i="1"/>
  <c r="AB99" i="1"/>
  <c r="AH99" i="1"/>
  <c r="AL99" i="1"/>
  <c r="AN99" i="1"/>
  <c r="AP99" i="1"/>
  <c r="F99" i="1"/>
  <c r="H99" i="1"/>
  <c r="AV99" i="1"/>
  <c r="P99" i="1"/>
  <c r="H96" i="1"/>
  <c r="T96" i="1"/>
  <c r="V96" i="1"/>
  <c r="X96" i="1"/>
  <c r="R96" i="1"/>
  <c r="Z96" i="1"/>
  <c r="AT96" i="1"/>
  <c r="AB96" i="1"/>
  <c r="AF96" i="1"/>
  <c r="AD96" i="1"/>
  <c r="AH96" i="1"/>
  <c r="F96" i="1"/>
  <c r="AL96" i="1"/>
  <c r="AP96" i="1"/>
  <c r="AV95" i="1"/>
  <c r="AR95" i="1"/>
  <c r="Z95" i="1"/>
  <c r="J95" i="1"/>
  <c r="L95" i="1"/>
  <c r="N95" i="1"/>
  <c r="P95" i="1"/>
  <c r="R95" i="1"/>
  <c r="T95" i="1"/>
  <c r="AB95" i="1"/>
  <c r="AD95" i="1"/>
  <c r="AF95" i="1"/>
  <c r="AH95" i="1"/>
  <c r="AJ95" i="1"/>
  <c r="AL95" i="1"/>
  <c r="F95" i="1"/>
  <c r="AP95" i="1"/>
  <c r="AN94" i="1"/>
  <c r="AR94" i="1"/>
  <c r="AV94" i="1"/>
  <c r="AP94" i="1"/>
  <c r="J94" i="1"/>
  <c r="X94" i="1"/>
  <c r="AB94" i="1"/>
  <c r="AD87" i="1"/>
  <c r="AL87" i="1"/>
  <c r="AN87" i="1"/>
  <c r="F87" i="1"/>
  <c r="L88" i="1"/>
  <c r="N88" i="1"/>
  <c r="P88" i="1"/>
  <c r="X88" i="1"/>
  <c r="F88" i="1"/>
  <c r="V88" i="1"/>
  <c r="Z88" i="1"/>
  <c r="AJ88" i="1"/>
  <c r="AL88" i="1"/>
  <c r="H91" i="1"/>
  <c r="J91" i="1"/>
  <c r="L91" i="1"/>
  <c r="N91" i="1"/>
  <c r="P91" i="1"/>
  <c r="R91" i="1"/>
  <c r="T91" i="1"/>
  <c r="V91" i="1"/>
  <c r="F91" i="1"/>
  <c r="Z91" i="1"/>
  <c r="AT91" i="1"/>
  <c r="X91" i="1"/>
  <c r="AB91" i="1"/>
  <c r="AD91" i="1"/>
  <c r="AF91" i="1"/>
  <c r="AH91" i="1"/>
  <c r="AJ91" i="1"/>
  <c r="H92" i="1"/>
  <c r="J92" i="1"/>
  <c r="L92" i="1"/>
  <c r="N92" i="1"/>
  <c r="P92" i="1"/>
  <c r="R92" i="1"/>
  <c r="T92" i="1"/>
  <c r="V92" i="1"/>
  <c r="F92" i="1"/>
  <c r="X92" i="1"/>
  <c r="Z92" i="1"/>
  <c r="AF92" i="1"/>
  <c r="AT92" i="1"/>
  <c r="AH92" i="1"/>
  <c r="AJ92" i="1"/>
  <c r="AN92" i="1"/>
  <c r="AB92" i="1"/>
  <c r="AD92" i="1"/>
  <c r="AL92" i="1"/>
  <c r="AP92" i="1"/>
  <c r="AV92" i="1"/>
  <c r="J93" i="1"/>
  <c r="H93" i="1"/>
  <c r="L93" i="1"/>
  <c r="N93" i="1"/>
  <c r="R93" i="1"/>
  <c r="T93" i="1"/>
  <c r="AT93" i="1"/>
  <c r="Z93" i="1"/>
  <c r="AB93" i="1"/>
  <c r="AH93" i="1"/>
  <c r="AJ93" i="1"/>
  <c r="AV93" i="1"/>
  <c r="AN93" i="1"/>
  <c r="J80" i="1"/>
  <c r="AF83" i="1"/>
  <c r="AH83" i="1"/>
  <c r="AJ83" i="1"/>
  <c r="F83" i="1"/>
  <c r="AL83" i="1"/>
  <c r="AP83" i="1"/>
  <c r="AT83" i="1"/>
  <c r="H83" i="1"/>
  <c r="J83" i="1"/>
  <c r="N84" i="1"/>
  <c r="P84" i="1"/>
  <c r="V84" i="1"/>
  <c r="X84" i="1"/>
  <c r="Z84" i="1"/>
  <c r="L85" i="1"/>
  <c r="N85" i="1"/>
  <c r="F85" i="1"/>
  <c r="P85" i="1"/>
  <c r="V85" i="1"/>
  <c r="X85" i="1"/>
  <c r="Z85" i="1"/>
  <c r="AB85" i="1"/>
  <c r="AT85" i="1"/>
  <c r="T85" i="1"/>
  <c r="AD85" i="1"/>
  <c r="AF85" i="1"/>
  <c r="J85" i="1"/>
  <c r="R85" i="1"/>
  <c r="AH85" i="1"/>
  <c r="AJ85" i="1"/>
  <c r="V86" i="1"/>
  <c r="H86" i="1"/>
  <c r="F86" i="1"/>
  <c r="J86" i="1"/>
  <c r="L86" i="1"/>
  <c r="N86" i="1"/>
  <c r="P86" i="1"/>
  <c r="R86" i="1"/>
  <c r="T86" i="1"/>
  <c r="X86" i="1"/>
  <c r="Z86" i="1"/>
  <c r="AB86" i="1"/>
  <c r="AD86" i="1"/>
  <c r="AF86" i="1"/>
  <c r="AH86" i="1"/>
  <c r="AT86" i="1"/>
  <c r="AJ86" i="1"/>
  <c r="AN86" i="1"/>
  <c r="AR86" i="1"/>
  <c r="AV86" i="1"/>
  <c r="AL86" i="1"/>
  <c r="F79" i="1"/>
  <c r="AH79" i="1"/>
  <c r="H79" i="1"/>
  <c r="N79" i="1"/>
  <c r="L79" i="1"/>
  <c r="J79" i="1"/>
  <c r="AB80" i="1"/>
  <c r="AD80" i="1"/>
  <c r="AF80" i="1"/>
  <c r="AH80" i="1"/>
  <c r="AJ80" i="1"/>
  <c r="AT80" i="1"/>
  <c r="Z80" i="1"/>
  <c r="AL80" i="1"/>
  <c r="AN80" i="1"/>
  <c r="P79" i="1"/>
  <c r="R79" i="1"/>
  <c r="T79" i="1"/>
  <c r="V79" i="1"/>
  <c r="Z79" i="1"/>
  <c r="AB79" i="1"/>
  <c r="AD79" i="1"/>
  <c r="AF79" i="1"/>
  <c r="X79" i="1"/>
  <c r="AL79" i="1"/>
  <c r="AJ79" i="1"/>
  <c r="AP79" i="1"/>
  <c r="AN79" i="1"/>
  <c r="AT79" i="1"/>
  <c r="AR79" i="1"/>
  <c r="N78" i="1"/>
  <c r="H78" i="1"/>
  <c r="J78" i="1"/>
  <c r="L78" i="1"/>
  <c r="P78" i="1"/>
  <c r="V78" i="1"/>
  <c r="X78" i="1"/>
  <c r="R78" i="1"/>
  <c r="T78" i="1"/>
  <c r="Z78" i="1"/>
  <c r="AB78" i="1"/>
  <c r="AD78" i="1"/>
  <c r="AT78" i="1"/>
  <c r="AH78" i="1"/>
  <c r="AJ78" i="1"/>
  <c r="AR78" i="1"/>
  <c r="AL78" i="1"/>
  <c r="AV78" i="1"/>
  <c r="J77" i="1"/>
  <c r="L77" i="1"/>
  <c r="R77" i="1"/>
  <c r="T77" i="1"/>
  <c r="V77" i="1"/>
  <c r="Z77" i="1"/>
  <c r="AB77" i="1"/>
  <c r="AR77" i="1"/>
  <c r="AD77" i="1"/>
  <c r="AT77" i="1"/>
  <c r="AF77" i="1"/>
  <c r="AV77" i="1"/>
  <c r="AH77" i="1"/>
  <c r="J74" i="1"/>
  <c r="H74" i="1"/>
  <c r="L74" i="1"/>
  <c r="N74" i="1"/>
  <c r="P74" i="1"/>
  <c r="AR74" i="1"/>
  <c r="V73" i="1"/>
  <c r="T73" i="1"/>
  <c r="X73" i="1"/>
  <c r="Z73" i="1"/>
  <c r="AH73" i="1"/>
  <c r="AJ73" i="1"/>
  <c r="L73" i="1"/>
  <c r="AR73" i="1"/>
  <c r="N73" i="1"/>
  <c r="F73" i="1"/>
  <c r="P73" i="1"/>
  <c r="AF73" i="1"/>
  <c r="R73" i="1"/>
  <c r="AB72" i="1"/>
  <c r="AD72" i="1"/>
  <c r="AF72" i="1"/>
  <c r="AH72" i="1"/>
  <c r="AJ72" i="1"/>
  <c r="AL72" i="1"/>
  <c r="AN72" i="1"/>
  <c r="AF71" i="1"/>
  <c r="AJ71" i="1"/>
  <c r="AL71" i="1"/>
  <c r="AN71" i="1"/>
  <c r="AP71" i="1"/>
  <c r="F71" i="1"/>
  <c r="AR71" i="1"/>
  <c r="X71" i="1"/>
  <c r="Z71" i="1"/>
  <c r="AB71" i="1"/>
  <c r="AD71" i="1"/>
  <c r="AT68" i="1"/>
  <c r="H68" i="1"/>
  <c r="J68" i="1"/>
  <c r="X68" i="1"/>
  <c r="Z68" i="1"/>
  <c r="R68" i="1"/>
  <c r="AB68" i="1"/>
  <c r="AD68" i="1"/>
  <c r="F68" i="1"/>
  <c r="AF68" i="1"/>
  <c r="AH68" i="1"/>
  <c r="T68" i="1"/>
  <c r="V68" i="1"/>
  <c r="AJ68" i="1"/>
  <c r="AV67" i="1"/>
  <c r="J67" i="1"/>
  <c r="L67" i="1"/>
  <c r="R67" i="1"/>
  <c r="N67" i="1"/>
  <c r="T67" i="1"/>
  <c r="V67" i="1"/>
  <c r="F67" i="1"/>
  <c r="P67" i="1"/>
  <c r="X67" i="1"/>
  <c r="AN67" i="1"/>
  <c r="Z67" i="1"/>
  <c r="AP67" i="1"/>
  <c r="AT67" i="1"/>
  <c r="AR67" i="1"/>
  <c r="AF67" i="1"/>
  <c r="AH67" i="1"/>
  <c r="AB67" i="1"/>
  <c r="AD67" i="1"/>
  <c r="AJ67" i="1"/>
  <c r="AL67" i="1"/>
  <c r="H62" i="1"/>
  <c r="R62" i="1"/>
  <c r="T62" i="1"/>
  <c r="V62" i="1"/>
  <c r="X62" i="1"/>
  <c r="AD62" i="1"/>
  <c r="AN61" i="1"/>
  <c r="AL61" i="1"/>
  <c r="AT61" i="1"/>
  <c r="AP61" i="1"/>
  <c r="J61" i="1"/>
  <c r="L61" i="1"/>
  <c r="N61" i="1"/>
  <c r="P61" i="1"/>
  <c r="AR61" i="1"/>
  <c r="R61" i="1"/>
  <c r="H61" i="1"/>
  <c r="T61" i="1"/>
  <c r="V61" i="1"/>
  <c r="Z61" i="1"/>
  <c r="R65" i="1"/>
  <c r="T65" i="1"/>
  <c r="V65" i="1"/>
  <c r="AR65" i="1"/>
  <c r="X65" i="1"/>
  <c r="P65" i="1"/>
  <c r="Z65" i="1"/>
  <c r="AB65" i="1"/>
  <c r="AV65" i="1"/>
  <c r="L65" i="1"/>
  <c r="F65" i="1"/>
  <c r="N65" i="1"/>
  <c r="AD65" i="1"/>
  <c r="AF65" i="1"/>
  <c r="AH65" i="1"/>
  <c r="AJ65" i="1"/>
  <c r="AL65" i="1"/>
  <c r="F66" i="1"/>
  <c r="N66" i="1"/>
  <c r="P66" i="1"/>
  <c r="V66" i="1"/>
  <c r="X66" i="1"/>
  <c r="AR66" i="1"/>
  <c r="AD66" i="1"/>
  <c r="AF66" i="1"/>
  <c r="AH66" i="1"/>
  <c r="AJ66" i="1"/>
  <c r="AL66" i="1"/>
  <c r="AP66" i="1"/>
  <c r="AT66" i="1"/>
  <c r="J66" i="1"/>
  <c r="L66" i="1"/>
  <c r="R66" i="1"/>
  <c r="T66" i="1"/>
  <c r="Z66" i="1"/>
  <c r="AB66" i="1"/>
  <c r="AN66" i="1"/>
  <c r="T52" i="1"/>
  <c r="AF53" i="1"/>
  <c r="T56" i="1"/>
  <c r="AF59" i="1"/>
  <c r="AR59" i="1"/>
  <c r="V52" i="1"/>
  <c r="AH53" i="1"/>
  <c r="J55" i="1"/>
  <c r="V56" i="1"/>
  <c r="AH59" i="1"/>
  <c r="L49" i="1"/>
  <c r="X52" i="1"/>
  <c r="AJ53" i="1"/>
  <c r="L55" i="1"/>
  <c r="X56" i="1"/>
  <c r="AJ59" i="1"/>
  <c r="AR56" i="1"/>
  <c r="AT59" i="1"/>
  <c r="Z52" i="1"/>
  <c r="AL53" i="1"/>
  <c r="N55" i="1"/>
  <c r="Z56" i="1"/>
  <c r="AL59" i="1"/>
  <c r="AR55" i="1"/>
  <c r="AT56" i="1"/>
  <c r="AD52" i="1"/>
  <c r="AP53" i="1"/>
  <c r="AD56" i="1"/>
  <c r="AP59" i="1"/>
  <c r="AR53" i="1"/>
  <c r="AT55" i="1"/>
  <c r="AT53" i="1"/>
  <c r="AR52" i="1"/>
  <c r="AH52" i="1"/>
  <c r="AH56" i="1"/>
  <c r="AT52" i="1"/>
  <c r="AJ52" i="1"/>
  <c r="L54" i="1"/>
  <c r="X55" i="1"/>
  <c r="AJ56" i="1"/>
  <c r="L60" i="1"/>
  <c r="AR49" i="1"/>
  <c r="AL52" i="1"/>
  <c r="N54" i="1"/>
  <c r="Z55" i="1"/>
  <c r="AL56" i="1"/>
  <c r="L53" i="1"/>
  <c r="L59" i="1"/>
  <c r="F56" i="1"/>
  <c r="AV59" i="1"/>
  <c r="F55" i="1"/>
  <c r="AV56" i="1"/>
  <c r="R59" i="1"/>
  <c r="R53" i="1"/>
  <c r="F53" i="1"/>
  <c r="H52" i="1"/>
  <c r="T53" i="1"/>
  <c r="T59" i="1"/>
  <c r="AF60" i="1"/>
  <c r="F52" i="1"/>
  <c r="AV53" i="1"/>
  <c r="AV52" i="1"/>
  <c r="X53" i="1"/>
  <c r="L52" i="1"/>
  <c r="T48" i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5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2" i="3" s="1"/>
  <c r="AK17" i="2"/>
  <c r="D9" i="3" s="1"/>
  <c r="AM17" i="2"/>
  <c r="D13" i="3" s="1"/>
  <c r="AI17" i="2"/>
  <c r="D21" i="3" s="1"/>
  <c r="AO17" i="2"/>
  <c r="D6" i="3" s="1"/>
  <c r="AA17" i="2"/>
  <c r="D8" i="3" s="1"/>
  <c r="AC17" i="2"/>
  <c r="D19" i="3" s="1"/>
  <c r="AE17" i="2"/>
  <c r="D5" i="3" s="1"/>
  <c r="AG17" i="2"/>
  <c r="D12" i="3" s="1"/>
  <c r="E17" i="2"/>
  <c r="D3" i="3" s="1"/>
  <c r="I17" i="2"/>
  <c r="D7" i="3" s="1"/>
  <c r="K17" i="2"/>
  <c r="D20" i="3" s="1"/>
  <c r="M17" i="2"/>
  <c r="D18" i="3" s="1"/>
  <c r="G17" i="2"/>
  <c r="D17" i="3" s="1"/>
  <c r="O17" i="2"/>
  <c r="D11" i="3" s="1"/>
  <c r="S17" i="2"/>
  <c r="D24" i="3" s="1"/>
  <c r="U17" i="2"/>
  <c r="D4" i="3" s="1"/>
  <c r="W17" i="2"/>
  <c r="D14" i="3" s="1"/>
  <c r="Y17" i="2"/>
  <c r="D10" i="3" s="1"/>
  <c r="C15" i="3" l="1"/>
  <c r="C16" i="3"/>
  <c r="C22" i="3"/>
  <c r="C23" i="3"/>
  <c r="C6" i="3"/>
  <c r="C19" i="3"/>
  <c r="C24" i="3"/>
  <c r="C5" i="3"/>
  <c r="C11" i="3"/>
  <c r="E11" i="3" s="1"/>
  <c r="C18" i="3"/>
  <c r="C21" i="3"/>
  <c r="C3" i="3"/>
  <c r="C14" i="3"/>
  <c r="C20" i="3"/>
  <c r="C9" i="3"/>
  <c r="C8" i="3"/>
  <c r="C17" i="3"/>
  <c r="C10" i="3"/>
  <c r="C7" i="3"/>
  <c r="C13" i="3"/>
  <c r="C4" i="3"/>
  <c r="E4" i="3" s="1"/>
  <c r="C12" i="3"/>
  <c r="E6" i="3" l="1"/>
  <c r="E22" i="3"/>
  <c r="E23" i="3"/>
  <c r="E18" i="3"/>
  <c r="E5" i="3"/>
  <c r="E8" i="3"/>
  <c r="E19" i="3"/>
  <c r="E15" i="3"/>
  <c r="E14" i="3"/>
  <c r="E21" i="3"/>
  <c r="E3" i="3"/>
  <c r="E9" i="3"/>
  <c r="E17" i="3"/>
  <c r="E10" i="3"/>
  <c r="E24" i="3"/>
  <c r="E7" i="3"/>
  <c r="E20" i="3"/>
  <c r="E13" i="3"/>
  <c r="E12" i="3"/>
  <c r="E16" i="3"/>
  <c r="A10" i="3" l="1"/>
  <c r="A13" i="3"/>
  <c r="A16" i="3"/>
  <c r="A3" i="3"/>
  <c r="A12" i="3"/>
  <c r="A20" i="3"/>
  <c r="A7" i="3"/>
  <c r="A11" i="3"/>
  <c r="A21" i="3"/>
  <c r="A6" i="3"/>
  <c r="A23" i="3"/>
  <c r="A19" i="3"/>
  <c r="A4" i="3"/>
  <c r="A24" i="3"/>
  <c r="A17" i="3"/>
  <c r="A14" i="3"/>
  <c r="A18" i="3"/>
  <c r="A15" i="3"/>
  <c r="A8" i="3"/>
  <c r="A5" i="3"/>
  <c r="A9" i="3"/>
  <c r="A22" i="3"/>
</calcChain>
</file>

<file path=xl/sharedStrings.xml><?xml version="1.0" encoding="utf-8"?>
<sst xmlns="http://schemas.openxmlformats.org/spreadsheetml/2006/main" count="2376" uniqueCount="299">
  <si>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</si>
  <si>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</si>
  <si>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</si>
  <si>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</si>
  <si>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</si>
  <si>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</si>
  <si>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</si>
  <si>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</si>
  <si>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</si>
  <si>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</si>
  <si>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</si>
  <si>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</si>
  <si>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</si>
  <si>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</si>
  <si>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</si>
  <si>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</si>
  <si>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</si>
  <si>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</si>
  <si>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</si>
  <si>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</si>
  <si>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</si>
  <si>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</si>
  <si>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</si>
  <si>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</si>
  <si>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</si>
  <si>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</si>
  <si>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</si>
  <si>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</si>
  <si>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</si>
  <si>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</si>
  <si>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</si>
  <si>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</si>
  <si>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</si>
  <si>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</si>
  <si>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</si>
  <si>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</si>
  <si>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</si>
  <si>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</si>
  <si>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</si>
  <si>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</si>
  <si>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</si>
  <si>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</si>
  <si>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</si>
  <si>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</si>
  <si>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</si>
  <si>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</si>
  <si>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</si>
  <si>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</si>
  <si>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</si>
  <si>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</si>
  <si>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</si>
  <si>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</si>
  <si>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</si>
  <si>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</si>
  <si>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</si>
  <si>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</si>
  <si>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</si>
  <si>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</si>
  <si>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</si>
  <si>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</si>
  <si>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</si>
  <si>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</si>
  <si>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</si>
  <si>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</si>
  <si>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</si>
  <si>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</si>
  <si>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</si>
  <si>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</si>
  <si>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</si>
  <si>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</si>
  <si>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</si>
  <si>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</si>
  <si>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</si>
  <si>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</si>
  <si>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</si>
  <si>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</si>
  <si>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</si>
  <si>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</si>
  <si>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</si>
  <si>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</si>
  <si>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</si>
  <si>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</si>
  <si>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</si>
  <si>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</si>
  <si>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</si>
  <si>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</si>
  <si>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</si>
  <si>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</si>
  <si>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</si>
  <si>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</si>
  <si>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</si>
  <si>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</si>
  <si>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</si>
  <si>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</si>
  <si>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</si>
  <si>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</si>
  <si>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</si>
  <si>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</si>
  <si>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</si>
  <si>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</si>
  <si>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</si>
  <si>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</si>
  <si>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</si>
  <si>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</si>
  <si>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</si>
  <si>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</si>
  <si>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</si>
  <si>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</si>
  <si>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</si>
  <si>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</si>
  <si>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</si>
  <si>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</si>
  <si>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</si>
  <si>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</si>
  <si>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</si>
  <si>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</si>
  <si>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</si>
  <si>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</si>
  <si>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</si>
  <si>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</si>
  <si>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</si>
  <si>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</si>
  <si>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</si>
  <si>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</si>
  <si>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</si>
  <si>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</si>
  <si>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</si>
  <si>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</si>
  <si>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</si>
  <si>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</si>
  <si>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</si>
  <si>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</si>
  <si>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</si>
  <si>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</si>
  <si>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</si>
  <si>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</si>
  <si>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</si>
  <si>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</si>
  <si>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</si>
  <si>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</si>
  <si>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</si>
  <si>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</si>
  <si>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</si>
  <si>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</si>
  <si>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</si>
  <si>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</si>
  <si>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</si>
  <si>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</si>
  <si>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</si>
  <si>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</si>
  <si>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</si>
  <si>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</si>
  <si>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</si>
  <si>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</si>
  <si>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</si>
  <si>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</si>
  <si>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</si>
  <si>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</si>
  <si>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</si>
  <si>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</si>
  <si>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</si>
  <si>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</si>
  <si>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</si>
  <si>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</si>
  <si>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</si>
  <si>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</si>
  <si>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</si>
  <si>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</si>
  <si>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</si>
  <si>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</si>
  <si>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</si>
  <si>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</si>
  <si>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</si>
  <si>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</si>
  <si>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</si>
  <si>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</si>
  <si>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</si>
  <si>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</si>
  <si>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</si>
  <si>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</si>
  <si>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</si>
  <si>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</si>
  <si>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</si>
  <si>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</si>
  <si>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</si>
  <si>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</si>
  <si>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</si>
  <si>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</si>
  <si>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</si>
  <si>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</si>
  <si>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</si>
  <si>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</si>
  <si>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</si>
  <si>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</si>
  <si>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</si>
  <si>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</si>
  <si>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</si>
  <si>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</si>
  <si>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</si>
  <si>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</si>
  <si>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</si>
  <si>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</si>
  <si>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</si>
  <si>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</si>
  <si>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</si>
  <si>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</si>
  <si>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</si>
  <si>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</si>
  <si>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</si>
  <si>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</si>
  <si>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</si>
  <si>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</si>
  <si>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</si>
  <si>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</si>
  <si>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</si>
  <si>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</si>
  <si>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</si>
  <si>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</si>
  <si>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</si>
  <si>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</si>
  <si>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</si>
  <si>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</si>
  <si>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</si>
  <si>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</si>
  <si>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</si>
  <si>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</si>
  <si>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</si>
  <si>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</si>
  <si>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</si>
  <si>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</si>
  <si>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</si>
  <si>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</si>
  <si>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</si>
  <si>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</si>
  <si>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</si>
  <si>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</si>
  <si>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</si>
  <si>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</si>
  <si>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</si>
  <si>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</si>
  <si>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</si>
  <si>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</si>
  <si>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</si>
  <si>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</si>
  <si>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</si>
  <si>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</si>
  <si>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</si>
  <si>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</si>
  <si>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</si>
  <si>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</si>
  <si>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</si>
  <si>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</si>
  <si>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</si>
  <si>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</si>
  <si>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</si>
  <si>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</si>
  <si>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</si>
  <si>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</si>
  <si>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</si>
  <si>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</si>
  <si>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</si>
  <si>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</si>
  <si>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</si>
  <si>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</si>
  <si>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</si>
  <si>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</si>
  <si>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</si>
  <si>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</si>
  <si>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</si>
  <si>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</si>
  <si>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</si>
  <si>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</si>
  <si>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</si>
  <si>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</si>
  <si>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</si>
  <si>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</si>
  <si>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</si>
  <si>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</si>
  <si>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</si>
  <si>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</si>
  <si>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</si>
  <si>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</si>
  <si>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</si>
  <si>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</si>
  <si>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</si>
  <si>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</si>
  <si>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</si>
  <si>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</si>
  <si>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</si>
  <si>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</si>
  <si>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</si>
  <si>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</si>
  <si>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</si>
  <si>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</si>
  <si>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</si>
  <si>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</si>
  <si>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</si>
  <si>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</si>
  <si>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Maroko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</si>
</sst>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E120" activePane="bottomRight" state="frozen"/>
      <selection pane="topRight"/>
      <selection pane="bottomLeft"/>
      <selection pane="bottomRight" activeCell="C138" sqref="C138"/>
    </sheetView>
  </sheetViews>
  <sheetFormatPr defaultRowHeight="15" x14ac:dyDescent="0.25"/>
  <cols>
    <col min="1" max="1" width="10.5703125" customWidth="1"/>
    <col min="2" max="2" width="20.5703125" style="19" customWidth="1"/>
    <col min="3" max="3" width="10.5703125" customWidth="1"/>
    <col min="4" max="4" width="20.5703125" style="20" customWidth="1"/>
    <col min="5" max="5" width="12.5703125" style="23" customWidth="1"/>
    <col min="6" max="6" width="8.5703125" customWidth="1"/>
    <col min="7" max="7" width="12.5703125" style="23" customWidth="1"/>
    <col min="8" max="8" width="8.5703125" customWidth="1"/>
    <col min="9" max="9" width="12.5703125" style="23" customWidth="1"/>
    <col min="10" max="10" width="8.5703125" customWidth="1"/>
    <col min="11" max="11" width="12.5703125" style="23" customWidth="1"/>
    <col min="12" max="12" width="8.5703125" customWidth="1"/>
    <col min="13" max="13" width="12.5703125" style="23" customWidth="1"/>
    <col min="14" max="14" width="8.5703125" customWidth="1"/>
    <col min="15" max="15" width="12.5703125" style="23" customWidth="1"/>
    <col min="16" max="16" width="8.5703125" customWidth="1"/>
    <col min="17" max="17" width="12.5703125" style="23" customWidth="1"/>
    <col min="18" max="18" width="8.5703125" customWidth="1"/>
    <col min="19" max="19" width="12.5703125" style="23" customWidth="1"/>
    <col min="20" max="20" width="8.5703125" customWidth="1"/>
    <col min="21" max="21" width="12.5703125" customWidth="1"/>
    <col min="22" max="22" width="8.5703125" customWidth="1"/>
    <col min="23" max="23" width="12.5703125" style="23" customWidth="1"/>
    <col min="24" max="24" width="8.5703125" customWidth="1"/>
    <col min="25" max="25" width="12.5703125" style="23" customWidth="1"/>
    <col min="26" max="26" width="8.5703125" customWidth="1"/>
    <col min="27" max="27" width="12.5703125" style="23" customWidth="1"/>
    <col min="28" max="28" width="8.5703125" customWidth="1"/>
    <col min="29" max="29" width="12.5703125" style="23" customWidth="1"/>
    <col min="30" max="30" width="8.5703125" customWidth="1"/>
    <col min="31" max="31" width="12.5703125" style="23" customWidth="1"/>
    <col min="32" max="32" width="8.5703125" customWidth="1"/>
    <col min="33" max="33" width="12.5703125" style="23" customWidth="1"/>
    <col min="34" max="34" width="8.5703125" customWidth="1"/>
    <col min="35" max="35" width="12.5703125" style="23" customWidth="1"/>
    <col min="36" max="36" width="8.5703125" customWidth="1"/>
    <col min="37" max="37" width="12.5703125" style="23" customWidth="1"/>
    <col min="38" max="38" width="8.5703125" customWidth="1"/>
    <col min="39" max="39" width="12.5703125" style="23" customWidth="1"/>
    <col min="40" max="40" width="8.5703125" customWidth="1"/>
    <col min="41" max="41" width="15.5703125" style="23" customWidth="1"/>
    <col min="42" max="42" width="8.5703125" customWidth="1"/>
    <col min="43" max="43" width="15.5703125" style="23" customWidth="1"/>
    <col min="44" max="44" width="8.5703125" customWidth="1"/>
    <col min="45" max="45" width="15.7109375" style="23" customWidth="1"/>
    <col min="46" max="46" width="8.5703125" customWidth="1"/>
    <col min="47" max="47" width="15.5703125" style="23" customWidth="1"/>
    <col min="48" max="48" width="8.5703125" customWidth="1"/>
    <col min="49" max="50" width="13" hidden="1" customWidth="1"/>
  </cols>
  <sheetData>
    <row r="1" spans="1:50" x14ac:dyDescent="0.25">
      <c r="A1" s="40" t="s">
        <v>0</v>
      </c>
      <c r="B1" s="40" t="s">
        <v>1</v>
      </c>
      <c r="C1" s="40" t="s">
        <v>2</v>
      </c>
      <c r="D1" s="40" t="s">
        <v>3</v>
      </c>
      <c r="E1" s="37" t="s">
        <v>4</v>
      </c>
      <c r="F1" s="39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292</v>
      </c>
      <c r="AT1" s="39"/>
      <c r="AU1" s="37" t="s">
        <v>24</v>
      </c>
      <c r="AV1" s="39"/>
      <c r="AW1" s="2" t="s">
        <v>25</v>
      </c>
      <c r="AX1" s="2" t="s">
        <v>26</v>
      </c>
    </row>
    <row r="2" spans="1:50" x14ac:dyDescent="0.25">
      <c r="A2" s="41"/>
      <c r="B2" s="42"/>
      <c r="C2" s="41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38" t="s">
        <v>29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4"/>
      <c r="AW3" s="7"/>
      <c r="AX3" s="7"/>
    </row>
    <row r="4" spans="1:50" ht="20.100000000000001" customHeight="1" x14ac:dyDescent="0.2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2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00000000000001" customHeight="1" x14ac:dyDescent="0.2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2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00000000000001" customHeight="1" x14ac:dyDescent="0.2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2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00000000000001" customHeight="1" x14ac:dyDescent="0.2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2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8" t="s">
        <v>69</v>
      </c>
      <c r="C19" s="10" t="s">
        <v>297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00000000000001" customHeight="1" x14ac:dyDescent="0.2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2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00000000000001" customHeight="1" x14ac:dyDescent="0.2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2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2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00000000000001" customHeight="1" x14ac:dyDescent="0.2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2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2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2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2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2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2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00000000000001" customHeight="1" x14ac:dyDescent="0.2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2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2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2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2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2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00000000000001" customHeight="1" x14ac:dyDescent="0.2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2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2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25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2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00000000000001" customHeight="1" x14ac:dyDescent="0.2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25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25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25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25">
      <c r="A55" s="9">
        <v>1.791666666666667</v>
      </c>
      <c r="B55" s="18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25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2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00000000000001" customHeight="1" x14ac:dyDescent="0.2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25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25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25">
      <c r="A61" s="9">
        <v>1.75</v>
      </c>
      <c r="B61" s="18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25">
      <c r="A62" s="9">
        <v>1.875</v>
      </c>
      <c r="B62" s="18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2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00000000000001" customHeight="1" x14ac:dyDescent="0.2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25">
      <c r="A65" s="9">
        <v>1</v>
      </c>
      <c r="B65" s="18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25">
      <c r="A66" s="9">
        <v>1.125</v>
      </c>
      <c r="B66" s="18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25">
      <c r="A67" s="9">
        <v>1.791666666666667</v>
      </c>
      <c r="B67" s="18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25">
      <c r="A68" s="9">
        <v>1.958333333333333</v>
      </c>
      <c r="B68" s="18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2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00000000000001" customHeight="1" x14ac:dyDescent="0.2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25">
      <c r="A71" s="9">
        <v>1.083333333333333</v>
      </c>
      <c r="B71" s="18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25">
      <c r="A72" s="9">
        <v>1.208333333333333</v>
      </c>
      <c r="B72" s="18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25">
      <c r="A73" s="9">
        <v>1.791666666666667</v>
      </c>
      <c r="B73" s="18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25">
      <c r="A74" s="9">
        <v>1.916666666666667</v>
      </c>
      <c r="B74" s="18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2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00000000000001" customHeight="1" x14ac:dyDescent="0.2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25">
      <c r="A77" s="9">
        <v>1.041666666666667</v>
      </c>
      <c r="B77" s="18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8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25">
      <c r="A78" s="9">
        <v>1.166666666666667</v>
      </c>
      <c r="B78" s="18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8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25">
      <c r="A79" s="9">
        <v>1.875</v>
      </c>
      <c r="B79" s="18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8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25">
      <c r="A80" s="9">
        <v>1.875</v>
      </c>
      <c r="B80" s="18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8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2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00000000000001" customHeight="1" x14ac:dyDescent="0.2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25">
      <c r="A83" s="9">
        <v>1</v>
      </c>
      <c r="B83" s="18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8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25">
      <c r="A84" s="9">
        <v>1</v>
      </c>
      <c r="B84" s="18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8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25">
      <c r="A85" s="9">
        <v>1.125</v>
      </c>
      <c r="B85" s="18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8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25">
      <c r="A86" s="9">
        <v>1.125</v>
      </c>
      <c r="B86" s="18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8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25">
      <c r="A87" s="9">
        <v>1.916666666666667</v>
      </c>
      <c r="B87" s="18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8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25">
      <c r="A88" s="9">
        <v>1.916666666666667</v>
      </c>
      <c r="B88" s="18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8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2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00000000000001" customHeight="1" x14ac:dyDescent="0.2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25">
      <c r="A91" s="9">
        <v>1.041666666666667</v>
      </c>
      <c r="B91" s="18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8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25">
      <c r="A92" s="9">
        <v>1.041666666666667</v>
      </c>
      <c r="B92" s="18" t="s">
        <v>79</v>
      </c>
      <c r="C92" s="10" t="s">
        <v>57</v>
      </c>
      <c r="D92" s="1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8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25">
      <c r="A93" s="9">
        <v>1.166666666666667</v>
      </c>
      <c r="B93" s="18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8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25">
      <c r="A94" s="9">
        <v>1.166666666666667</v>
      </c>
      <c r="B94" s="18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8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25">
      <c r="A95" s="9">
        <v>1.875</v>
      </c>
      <c r="B95" s="18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8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25">
      <c r="A96" s="9">
        <v>1.875</v>
      </c>
      <c r="B96" s="18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8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2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00000000000001" customHeight="1" x14ac:dyDescent="0.2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25">
      <c r="A99" s="9">
        <v>1.083333333333333</v>
      </c>
      <c r="B99" s="18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8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25">
      <c r="A100" s="9">
        <v>1.083333333333333</v>
      </c>
      <c r="B100" s="18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8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25">
      <c r="A101" s="9">
        <v>1.208333333333333</v>
      </c>
      <c r="B101" s="18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8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25">
      <c r="A102" s="9">
        <v>1.208333333333333</v>
      </c>
      <c r="B102" s="18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8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25">
      <c r="A103" s="9">
        <v>1.958333333333333</v>
      </c>
      <c r="B103" s="18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8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25">
      <c r="A104" s="9">
        <v>1.958333333333333</v>
      </c>
      <c r="B104" s="18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8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2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00000000000001" customHeight="1" x14ac:dyDescent="0.2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25">
      <c r="A107" s="9">
        <v>1.0625</v>
      </c>
      <c r="B107" s="18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8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25">
      <c r="A108" s="9">
        <v>1.0625</v>
      </c>
      <c r="B108" s="18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8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25">
      <c r="A109" s="9">
        <v>1.166666666666667</v>
      </c>
      <c r="B109" s="18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8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 t="shared" si="78"/>
        <v>0</v>
      </c>
      <c r="AS109" s="10" t="s">
        <v>50</v>
      </c>
      <c r="AT109" s="11">
        <f t="shared" si="79"/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25">
      <c r="A110" s="9">
        <v>1.166666666666667</v>
      </c>
      <c r="B110" s="18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8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 t="shared" si="78"/>
        <v>7</v>
      </c>
      <c r="AS110" s="10" t="s">
        <v>45</v>
      </c>
      <c r="AT110" s="11">
        <f t="shared" si="79"/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2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2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00000000000001" customHeight="1" x14ac:dyDescent="0.2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00000000000001" customHeight="1" x14ac:dyDescent="0.2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25">
      <c r="A115" s="9">
        <v>1.875</v>
      </c>
      <c r="B115" s="18" t="s">
        <v>32</v>
      </c>
      <c r="C115" s="10"/>
      <c r="D115" s="1" t="s">
        <v>46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2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00000000000001" customHeight="1" x14ac:dyDescent="0.25">
      <c r="A117" s="33" t="s">
        <v>129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25">
      <c r="A118" s="9">
        <v>1.791666666666667</v>
      </c>
      <c r="B118" s="18" t="s">
        <v>59</v>
      </c>
      <c r="C118" s="10"/>
      <c r="D118" s="1" t="s">
        <v>74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25">
      <c r="A119" s="9">
        <v>1.9375</v>
      </c>
      <c r="B119" s="18" t="s">
        <v>69</v>
      </c>
      <c r="C119" s="10"/>
      <c r="D119" s="1" t="s">
        <v>53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2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00000000000001" customHeight="1" x14ac:dyDescent="0.25">
      <c r="A121" s="33" t="s">
        <v>130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25">
      <c r="A122" s="9">
        <v>1.125</v>
      </c>
      <c r="B122" s="18" t="s">
        <v>73</v>
      </c>
      <c r="C122" s="10"/>
      <c r="D122" s="1" t="s">
        <v>298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25">
      <c r="A123" s="9">
        <v>1.791666666666667</v>
      </c>
      <c r="B123" s="18" t="s">
        <v>76</v>
      </c>
      <c r="C123" s="10"/>
      <c r="D123" s="1" t="s">
        <v>94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25">
      <c r="A124" s="9">
        <v>1.958333333333333</v>
      </c>
      <c r="B124" s="18" t="s">
        <v>89</v>
      </c>
      <c r="C124" s="10"/>
      <c r="D124" s="1" t="s">
        <v>78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2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00000000000001" customHeight="1" x14ac:dyDescent="0.25">
      <c r="A126" s="33" t="s">
        <v>131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25">
      <c r="A127" s="9">
        <v>1.125</v>
      </c>
      <c r="B127" s="18" t="s">
        <v>31</v>
      </c>
      <c r="C127" s="10"/>
      <c r="D127" s="1" t="s">
        <v>77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25">
      <c r="A128" s="9">
        <v>1.75</v>
      </c>
      <c r="B128" s="18" t="s">
        <v>101</v>
      </c>
      <c r="C128" s="10"/>
      <c r="D128" s="1" t="s">
        <v>100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25">
      <c r="A129" s="9">
        <v>1.916666666666667</v>
      </c>
      <c r="B129" s="18" t="s">
        <v>82</v>
      </c>
      <c r="C129" s="10"/>
      <c r="D129" s="1" t="s">
        <v>90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2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00000000000001" customHeight="1" x14ac:dyDescent="0.25">
      <c r="A131" s="33" t="s">
        <v>132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25">
      <c r="A132" s="9">
        <v>1.083333333333333</v>
      </c>
      <c r="B132" s="18" t="s">
        <v>52</v>
      </c>
      <c r="C132" s="10"/>
      <c r="D132" s="1" t="s">
        <v>47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25">
      <c r="A133" s="9">
        <v>1.875</v>
      </c>
      <c r="B133" s="18" t="s">
        <v>80</v>
      </c>
      <c r="C133" s="10"/>
      <c r="D133" s="1" t="s">
        <v>97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2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00000000000001" customHeight="1" x14ac:dyDescent="0.25">
      <c r="A135" s="33" t="s">
        <v>133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25">
      <c r="A136" s="9">
        <v>1.041666666666667</v>
      </c>
      <c r="B136" s="18" t="s">
        <v>99</v>
      </c>
      <c r="C136" s="10"/>
      <c r="D136" s="1" t="s">
        <v>102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25">
      <c r="A137" s="9">
        <v>1.208333333333333</v>
      </c>
      <c r="B137" s="18" t="s">
        <v>55</v>
      </c>
      <c r="C137" s="10"/>
      <c r="D137" s="1" t="s">
        <v>96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25">
      <c r="A138" s="9">
        <v>1.833333333333333</v>
      </c>
      <c r="B138" s="18" t="s">
        <v>67</v>
      </c>
      <c r="C138" s="10"/>
      <c r="D138" s="1" t="s">
        <v>83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2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00000000000001" customHeight="1" x14ac:dyDescent="0.25">
      <c r="A140" s="33" t="s">
        <v>134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25">
      <c r="A141" s="9">
        <v>1</v>
      </c>
      <c r="B141" s="18" t="s">
        <v>95</v>
      </c>
      <c r="C141" s="10"/>
      <c r="D141" s="1" t="s">
        <v>81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25">
      <c r="A142" s="9">
        <v>1.145833333333333</v>
      </c>
      <c r="B142" s="18" t="s">
        <v>108</v>
      </c>
      <c r="C142" s="10"/>
      <c r="D142" s="1" t="s">
        <v>104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2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2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00000000000001" customHeight="1" x14ac:dyDescent="0.25">
      <c r="A145" s="38" t="s">
        <v>135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00000000000001" customHeight="1" x14ac:dyDescent="0.25">
      <c r="A146" s="33" t="s">
        <v>134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25">
      <c r="A147" s="9">
        <v>1.791666666666667</v>
      </c>
      <c r="B147" s="18" t="s">
        <v>136</v>
      </c>
      <c r="C147" s="10"/>
      <c r="D147" s="1" t="s">
        <v>137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25">
      <c r="A148" s="9">
        <v>1.958333333333333</v>
      </c>
      <c r="B148" s="18" t="s">
        <v>138</v>
      </c>
      <c r="C148" s="10"/>
      <c r="D148" s="1" t="s">
        <v>139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2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00000000000001" customHeight="1" x14ac:dyDescent="0.25">
      <c r="A150" s="33" t="s">
        <v>140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25">
      <c r="A151" s="9">
        <v>1.916666666666667</v>
      </c>
      <c r="B151" s="18" t="s">
        <v>141</v>
      </c>
      <c r="C151" s="10"/>
      <c r="D151" s="1" t="s">
        <v>142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2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00000000000001" customHeight="1" x14ac:dyDescent="0.25">
      <c r="A153" s="33" t="s">
        <v>143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25">
      <c r="A154" s="9">
        <v>1.083333333333333</v>
      </c>
      <c r="B154" s="18" t="s">
        <v>144</v>
      </c>
      <c r="C154" s="10"/>
      <c r="D154" s="1" t="s">
        <v>145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25">
      <c r="A155" s="9">
        <v>1.875</v>
      </c>
      <c r="B155" s="18" t="s">
        <v>146</v>
      </c>
      <c r="C155" s="10"/>
      <c r="D155" s="1" t="s">
        <v>147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2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00000000000001" customHeight="1" x14ac:dyDescent="0.25">
      <c r="A157" s="33" t="s">
        <v>148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25">
      <c r="A158" s="9">
        <v>1.083333333333333</v>
      </c>
      <c r="B158" s="18" t="s">
        <v>149</v>
      </c>
      <c r="C158" s="10"/>
      <c r="D158" s="1" t="s">
        <v>150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25">
      <c r="A159" s="9">
        <v>1.75</v>
      </c>
      <c r="B159" s="18" t="s">
        <v>151</v>
      </c>
      <c r="C159" s="10"/>
      <c r="D159" s="1" t="s">
        <v>152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25">
      <c r="A160" s="9">
        <v>1.916666666666667</v>
      </c>
      <c r="B160" s="18" t="s">
        <v>153</v>
      </c>
      <c r="C160" s="10"/>
      <c r="D160" s="1" t="s">
        <v>154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2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2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00000000000001" customHeight="1" x14ac:dyDescent="0.25">
      <c r="A163" s="38" t="s">
        <v>155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00000000000001" customHeight="1" x14ac:dyDescent="0.25">
      <c r="A164" s="33" t="s">
        <v>156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25">
      <c r="A165" s="9">
        <v>1.916666666666667</v>
      </c>
      <c r="B165" s="18" t="s">
        <v>157</v>
      </c>
      <c r="C165" s="10"/>
      <c r="D165" s="1" t="s">
        <v>158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2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00000000000001" customHeight="1" x14ac:dyDescent="0.25">
      <c r="A167" s="33" t="s">
        <v>159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25">
      <c r="A168" s="9">
        <v>1.875</v>
      </c>
      <c r="B168" s="18" t="s">
        <v>160</v>
      </c>
      <c r="C168" s="10"/>
      <c r="D168" s="1" t="s">
        <v>161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2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00000000000001" customHeight="1" x14ac:dyDescent="0.25">
      <c r="A170" s="33" t="s">
        <v>162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25">
      <c r="A171" s="9">
        <v>1.958333333333333</v>
      </c>
      <c r="B171" s="18" t="s">
        <v>163</v>
      </c>
      <c r="C171" s="10"/>
      <c r="D171" s="1" t="s">
        <v>164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2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00000000000001" customHeight="1" x14ac:dyDescent="0.25">
      <c r="A173" s="33" t="s">
        <v>165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25">
      <c r="A174" s="9">
        <v>1.125</v>
      </c>
      <c r="B174" s="18" t="s">
        <v>166</v>
      </c>
      <c r="C174" s="10"/>
      <c r="D174" s="1" t="s">
        <v>167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2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2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00000000000001" customHeight="1" x14ac:dyDescent="0.25">
      <c r="A177" s="38" t="s">
        <v>168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00000000000001" customHeight="1" x14ac:dyDescent="0.25">
      <c r="A178" s="33" t="s">
        <v>169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25">
      <c r="A179" s="9">
        <v>1.875</v>
      </c>
      <c r="B179" s="18" t="s">
        <v>170</v>
      </c>
      <c r="C179" s="10"/>
      <c r="D179" s="1" t="s">
        <v>171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2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00000000000001" customHeight="1" x14ac:dyDescent="0.25">
      <c r="A181" s="33" t="s">
        <v>172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25">
      <c r="A182" s="9">
        <v>1.875</v>
      </c>
      <c r="B182" s="18" t="s">
        <v>173</v>
      </c>
      <c r="C182" s="10"/>
      <c r="D182" s="1" t="s">
        <v>174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2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2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00000000000001" customHeight="1" x14ac:dyDescent="0.25">
      <c r="A185" s="38" t="s">
        <v>175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00000000000001" customHeight="1" x14ac:dyDescent="0.25">
      <c r="A186" s="33" t="s">
        <v>176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25">
      <c r="A187" s="9">
        <v>1.958333333333333</v>
      </c>
      <c r="B187" s="18" t="s">
        <v>177</v>
      </c>
      <c r="C187" s="10"/>
      <c r="D187" s="1" t="s">
        <v>178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2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2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00000000000001" customHeight="1" x14ac:dyDescent="0.25">
      <c r="A190" s="38" t="s">
        <v>179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00000000000001" customHeight="1" x14ac:dyDescent="0.25">
      <c r="A191" s="33" t="s">
        <v>180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25">
      <c r="A192" s="9">
        <v>1.875</v>
      </c>
      <c r="B192" s="18" t="s">
        <v>181</v>
      </c>
      <c r="C192" s="10"/>
      <c r="D192" s="1" t="s">
        <v>182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2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2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autoFilter ref="A1:AX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A12" sqref="A12:XFD12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2.5703125" style="23" customWidth="1"/>
    <col min="5" max="5" width="10.5703125" customWidth="1"/>
    <col min="6" max="6" width="12.5703125" customWidth="1"/>
    <col min="7" max="7" width="10.5703125" customWidth="1"/>
    <col min="8" max="8" width="12.5703125" customWidth="1"/>
    <col min="9" max="9" width="10.5703125" customWidth="1"/>
    <col min="10" max="10" width="12.5703125" customWidth="1"/>
    <col min="11" max="11" width="10.5703125" customWidth="1"/>
    <col min="12" max="12" width="12.5703125" customWidth="1"/>
    <col min="13" max="13" width="10.5703125" customWidth="1"/>
    <col min="14" max="14" width="12.5703125" style="23" customWidth="1"/>
    <col min="15" max="15" width="10.5703125" customWidth="1"/>
    <col min="16" max="16" width="12.5703125" style="23" customWidth="1"/>
    <col min="17" max="17" width="10.5703125" customWidth="1"/>
    <col min="18" max="18" width="12.5703125" style="23" customWidth="1"/>
    <col min="19" max="19" width="10.5703125" customWidth="1"/>
    <col min="20" max="20" width="12.5703125" customWidth="1"/>
    <col min="21" max="21" width="10.5703125" customWidth="1"/>
    <col min="22" max="22" width="12.5703125" style="23" customWidth="1"/>
    <col min="23" max="23" width="10.5703125" customWidth="1"/>
    <col min="24" max="24" width="12.5703125" style="23" customWidth="1"/>
    <col min="25" max="25" width="10.5703125" customWidth="1"/>
    <col min="26" max="26" width="12.5703125" style="23" customWidth="1"/>
    <col min="27" max="27" width="10.5703125" customWidth="1"/>
    <col min="28" max="28" width="12.5703125" style="23" customWidth="1"/>
    <col min="29" max="29" width="10.5703125" customWidth="1"/>
    <col min="30" max="30" width="12.5703125" style="23" customWidth="1"/>
    <col min="31" max="31" width="10.5703125" customWidth="1"/>
    <col min="32" max="32" width="12.5703125" style="23" customWidth="1"/>
    <col min="33" max="33" width="10.5703125" customWidth="1"/>
    <col min="34" max="34" width="12.5703125" style="23" customWidth="1"/>
    <col min="35" max="35" width="10.5703125" customWidth="1"/>
    <col min="36" max="36" width="12.5703125" style="23" customWidth="1"/>
    <col min="37" max="37" width="10.5703125" customWidth="1"/>
    <col min="38" max="38" width="12.5703125" style="23" customWidth="1"/>
    <col min="39" max="39" width="10.5703125" customWidth="1"/>
    <col min="40" max="40" width="12.5703125" style="23" customWidth="1"/>
    <col min="41" max="41" width="10.5703125" customWidth="1"/>
    <col min="42" max="42" width="12.5703125" customWidth="1"/>
    <col min="43" max="43" width="10.5703125" customWidth="1"/>
    <col min="44" max="44" width="12.5703125" style="23" customWidth="1"/>
    <col min="45" max="45" width="10.5703125" customWidth="1"/>
    <col min="46" max="46" width="12.5703125" style="23" customWidth="1"/>
    <col min="47" max="47" width="10.5703125" customWidth="1"/>
  </cols>
  <sheetData>
    <row r="1" spans="1:47" x14ac:dyDescent="0.2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39"/>
      <c r="AT1" s="37" t="str">
        <f>Wedstrijden_beheer!AU1</f>
        <v>Raymond</v>
      </c>
      <c r="AU1" s="39"/>
    </row>
    <row r="2" spans="1:47" s="32" customFormat="1" ht="14.45" customHeight="1" x14ac:dyDescent="0.25">
      <c r="A2" s="21"/>
      <c r="B2" s="25" t="s">
        <v>183</v>
      </c>
      <c r="C2" s="21" t="s">
        <v>184</v>
      </c>
      <c r="D2" s="24" t="s">
        <v>185</v>
      </c>
      <c r="E2" s="21" t="s">
        <v>28</v>
      </c>
      <c r="F2" s="21" t="s">
        <v>185</v>
      </c>
      <c r="G2" s="21" t="s">
        <v>28</v>
      </c>
      <c r="H2" s="21" t="s">
        <v>185</v>
      </c>
      <c r="I2" s="21" t="s">
        <v>28</v>
      </c>
      <c r="J2" s="21" t="s">
        <v>185</v>
      </c>
      <c r="K2" s="21" t="s">
        <v>28</v>
      </c>
      <c r="L2" s="21" t="s">
        <v>185</v>
      </c>
      <c r="M2" s="21" t="s">
        <v>28</v>
      </c>
      <c r="N2" s="24" t="s">
        <v>185</v>
      </c>
      <c r="O2" s="21" t="s">
        <v>28</v>
      </c>
      <c r="P2" s="24" t="s">
        <v>185</v>
      </c>
      <c r="Q2" s="21" t="s">
        <v>28</v>
      </c>
      <c r="R2" s="24" t="s">
        <v>185</v>
      </c>
      <c r="S2" s="21" t="s">
        <v>28</v>
      </c>
      <c r="T2" s="21" t="s">
        <v>185</v>
      </c>
      <c r="U2" s="21" t="s">
        <v>28</v>
      </c>
      <c r="V2" s="24" t="s">
        <v>185</v>
      </c>
      <c r="W2" s="21" t="s">
        <v>28</v>
      </c>
      <c r="X2" s="24" t="s">
        <v>185</v>
      </c>
      <c r="Y2" s="21" t="s">
        <v>28</v>
      </c>
      <c r="Z2" s="24" t="s">
        <v>185</v>
      </c>
      <c r="AA2" s="21" t="s">
        <v>28</v>
      </c>
      <c r="AB2" s="24" t="s">
        <v>185</v>
      </c>
      <c r="AC2" s="21" t="s">
        <v>28</v>
      </c>
      <c r="AD2" s="24" t="s">
        <v>185</v>
      </c>
      <c r="AE2" s="21" t="s">
        <v>28</v>
      </c>
      <c r="AF2" s="24" t="s">
        <v>185</v>
      </c>
      <c r="AG2" s="21" t="s">
        <v>28</v>
      </c>
      <c r="AH2" s="24" t="s">
        <v>185</v>
      </c>
      <c r="AI2" s="21" t="s">
        <v>28</v>
      </c>
      <c r="AJ2" s="24" t="s">
        <v>185</v>
      </c>
      <c r="AK2" s="21" t="s">
        <v>28</v>
      </c>
      <c r="AL2" s="8" t="s">
        <v>185</v>
      </c>
      <c r="AM2" s="21" t="s">
        <v>28</v>
      </c>
      <c r="AN2" s="24" t="s">
        <v>185</v>
      </c>
      <c r="AO2" s="21" t="s">
        <v>28</v>
      </c>
      <c r="AP2" s="21" t="s">
        <v>185</v>
      </c>
      <c r="AQ2" s="21" t="s">
        <v>28</v>
      </c>
      <c r="AR2" s="24" t="s">
        <v>185</v>
      </c>
      <c r="AS2" s="21" t="s">
        <v>28</v>
      </c>
      <c r="AT2" s="24" t="s">
        <v>185</v>
      </c>
      <c r="AU2" s="21" t="s">
        <v>28</v>
      </c>
    </row>
    <row r="3" spans="1:47" ht="14.45" customHeight="1" x14ac:dyDescent="0.25">
      <c r="A3" s="11">
        <v>1</v>
      </c>
      <c r="B3" s="1" t="s">
        <v>186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5" customHeight="1" x14ac:dyDescent="0.25">
      <c r="A4" s="11">
        <v>2</v>
      </c>
      <c r="B4" s="1" t="s">
        <v>187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188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5" customHeight="1" x14ac:dyDescent="0.25">
      <c r="A5" s="11">
        <v>3</v>
      </c>
      <c r="B5" s="1" t="s">
        <v>189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190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5" customHeight="1" x14ac:dyDescent="0.25">
      <c r="A6" s="11">
        <v>4</v>
      </c>
      <c r="B6" s="1" t="s">
        <v>191</v>
      </c>
      <c r="C6" s="1"/>
      <c r="D6" s="28" t="s">
        <v>192</v>
      </c>
      <c r="E6" s="11" t="str">
        <f t="shared" si="0"/>
        <v/>
      </c>
      <c r="F6" s="10" t="s">
        <v>193</v>
      </c>
      <c r="G6" s="11" t="str">
        <f t="shared" si="1"/>
        <v/>
      </c>
      <c r="H6" s="10" t="s">
        <v>194</v>
      </c>
      <c r="I6" s="11" t="str">
        <f t="shared" si="2"/>
        <v/>
      </c>
      <c r="J6" s="10" t="s">
        <v>193</v>
      </c>
      <c r="K6" s="11" t="str">
        <f t="shared" si="3"/>
        <v/>
      </c>
      <c r="L6" s="10" t="s">
        <v>192</v>
      </c>
      <c r="M6" s="11" t="str">
        <f t="shared" si="4"/>
        <v/>
      </c>
      <c r="N6" s="10" t="s">
        <v>192</v>
      </c>
      <c r="O6" s="11" t="str">
        <f t="shared" si="5"/>
        <v/>
      </c>
      <c r="P6" s="10" t="s">
        <v>194</v>
      </c>
      <c r="Q6" s="11" t="str">
        <f t="shared" si="6"/>
        <v/>
      </c>
      <c r="R6" s="10" t="s">
        <v>193</v>
      </c>
      <c r="S6" s="11" t="str">
        <f t="shared" si="7"/>
        <v/>
      </c>
      <c r="T6" s="10" t="s">
        <v>194</v>
      </c>
      <c r="U6" s="11" t="str">
        <f t="shared" si="8"/>
        <v/>
      </c>
      <c r="V6" s="10" t="s">
        <v>192</v>
      </c>
      <c r="W6" s="11" t="str">
        <f t="shared" si="9"/>
        <v/>
      </c>
      <c r="X6" s="10" t="s">
        <v>194</v>
      </c>
      <c r="Y6" s="11" t="str">
        <f t="shared" si="10"/>
        <v/>
      </c>
      <c r="Z6" s="10" t="s">
        <v>192</v>
      </c>
      <c r="AA6" s="11" t="str">
        <f t="shared" si="11"/>
        <v/>
      </c>
      <c r="AB6" s="23" t="s">
        <v>193</v>
      </c>
      <c r="AC6" s="11" t="str">
        <f t="shared" si="12"/>
        <v/>
      </c>
      <c r="AD6" s="10" t="s">
        <v>192</v>
      </c>
      <c r="AE6" s="11" t="str">
        <f t="shared" si="13"/>
        <v/>
      </c>
      <c r="AF6" s="10" t="s">
        <v>194</v>
      </c>
      <c r="AG6" s="11" t="str">
        <f t="shared" si="14"/>
        <v/>
      </c>
      <c r="AH6" s="10" t="s">
        <v>192</v>
      </c>
      <c r="AI6" s="11" t="str">
        <f t="shared" si="15"/>
        <v/>
      </c>
      <c r="AJ6" s="10" t="s">
        <v>194</v>
      </c>
      <c r="AK6" s="11" t="str">
        <f t="shared" si="16"/>
        <v/>
      </c>
      <c r="AL6" s="10" t="s">
        <v>194</v>
      </c>
      <c r="AM6" s="11" t="str">
        <f t="shared" si="17"/>
        <v/>
      </c>
      <c r="AN6" s="10" t="s">
        <v>194</v>
      </c>
      <c r="AO6" s="11" t="str">
        <f t="shared" si="18"/>
        <v/>
      </c>
      <c r="AP6" s="10" t="s">
        <v>194</v>
      </c>
      <c r="AQ6" s="11" t="str">
        <f t="shared" si="19"/>
        <v/>
      </c>
      <c r="AR6" s="10" t="s">
        <v>293</v>
      </c>
      <c r="AS6" s="11" t="str">
        <f t="shared" si="20"/>
        <v/>
      </c>
      <c r="AT6" s="10" t="s">
        <v>192</v>
      </c>
      <c r="AU6" s="11" t="str">
        <f t="shared" si="21"/>
        <v/>
      </c>
    </row>
    <row r="7" spans="1:47" ht="14.45" customHeight="1" x14ac:dyDescent="0.25">
      <c r="A7" s="11">
        <v>5</v>
      </c>
      <c r="B7" s="1" t="s">
        <v>195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196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5" customHeight="1" x14ac:dyDescent="0.25">
      <c r="A8" s="11">
        <v>6</v>
      </c>
      <c r="B8" s="1" t="s">
        <v>197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198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199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200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5" customHeight="1" x14ac:dyDescent="0.25">
      <c r="A9" s="11">
        <v>7</v>
      </c>
      <c r="B9" s="1" t="s">
        <v>201</v>
      </c>
      <c r="C9" s="1"/>
      <c r="D9" s="10" t="s">
        <v>202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202</v>
      </c>
      <c r="I9" s="11" t="str">
        <f t="shared" si="2"/>
        <v/>
      </c>
      <c r="J9" s="10" t="s">
        <v>203</v>
      </c>
      <c r="K9" s="11" t="str">
        <f t="shared" si="3"/>
        <v/>
      </c>
      <c r="L9" s="10" t="s">
        <v>203</v>
      </c>
      <c r="M9" s="11" t="str">
        <f t="shared" si="4"/>
        <v/>
      </c>
      <c r="N9" s="10" t="s">
        <v>202</v>
      </c>
      <c r="O9" s="11" t="str">
        <f t="shared" si="5"/>
        <v/>
      </c>
      <c r="P9" s="10" t="s">
        <v>203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202</v>
      </c>
      <c r="U9" s="11" t="str">
        <f t="shared" si="8"/>
        <v/>
      </c>
      <c r="V9" s="10" t="s">
        <v>202</v>
      </c>
      <c r="W9" s="11" t="str">
        <f t="shared" si="9"/>
        <v/>
      </c>
      <c r="X9" s="10" t="s">
        <v>202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203</v>
      </c>
      <c r="AS9" s="11" t="str">
        <f t="shared" si="20"/>
        <v/>
      </c>
      <c r="AT9" s="10" t="s">
        <v>204</v>
      </c>
      <c r="AU9" s="11" t="str">
        <f t="shared" si="21"/>
        <v/>
      </c>
    </row>
    <row r="10" spans="1:47" ht="14.45" customHeight="1" x14ac:dyDescent="0.25">
      <c r="A10" s="11">
        <v>8</v>
      </c>
      <c r="B10" s="1" t="s">
        <v>205</v>
      </c>
      <c r="C10" s="1"/>
      <c r="D10" s="10" t="s">
        <v>199</v>
      </c>
      <c r="E10" s="11" t="str">
        <f t="shared" si="0"/>
        <v/>
      </c>
      <c r="F10" s="10" t="s">
        <v>199</v>
      </c>
      <c r="G10" s="11" t="str">
        <f t="shared" si="1"/>
        <v/>
      </c>
      <c r="H10" s="10" t="s">
        <v>199</v>
      </c>
      <c r="I10" s="11" t="str">
        <f t="shared" si="2"/>
        <v/>
      </c>
      <c r="J10" s="10" t="s">
        <v>193</v>
      </c>
      <c r="K10" s="11" t="str">
        <f t="shared" si="3"/>
        <v/>
      </c>
      <c r="L10" s="10" t="s">
        <v>206</v>
      </c>
      <c r="M10" s="11" t="str">
        <f t="shared" si="4"/>
        <v/>
      </c>
      <c r="N10" s="10" t="s">
        <v>207</v>
      </c>
      <c r="O10" s="11" t="str">
        <f t="shared" si="5"/>
        <v/>
      </c>
      <c r="P10" s="10" t="s">
        <v>199</v>
      </c>
      <c r="Q10" s="11" t="str">
        <f t="shared" si="6"/>
        <v/>
      </c>
      <c r="R10" s="10" t="s">
        <v>199</v>
      </c>
      <c r="S10" s="11" t="str">
        <f t="shared" si="7"/>
        <v/>
      </c>
      <c r="T10" s="10" t="s">
        <v>208</v>
      </c>
      <c r="U10" s="11" t="str">
        <f t="shared" si="8"/>
        <v/>
      </c>
      <c r="V10" s="10" t="s">
        <v>209</v>
      </c>
      <c r="W10" s="11" t="str">
        <f t="shared" si="9"/>
        <v/>
      </c>
      <c r="X10" s="10" t="s">
        <v>194</v>
      </c>
      <c r="Y10" s="11" t="str">
        <f t="shared" si="10"/>
        <v/>
      </c>
      <c r="Z10" s="10" t="s">
        <v>199</v>
      </c>
      <c r="AA10" s="11" t="str">
        <f t="shared" si="11"/>
        <v/>
      </c>
      <c r="AB10" s="23" t="s">
        <v>199</v>
      </c>
      <c r="AC10" s="11" t="str">
        <f t="shared" si="12"/>
        <v/>
      </c>
      <c r="AD10" s="10" t="s">
        <v>199</v>
      </c>
      <c r="AE10" s="11" t="str">
        <f t="shared" si="13"/>
        <v/>
      </c>
      <c r="AF10" s="10" t="s">
        <v>199</v>
      </c>
      <c r="AG10" s="11" t="str">
        <f t="shared" si="14"/>
        <v/>
      </c>
      <c r="AH10" s="10" t="s">
        <v>199</v>
      </c>
      <c r="AI10" s="11" t="str">
        <f t="shared" si="15"/>
        <v/>
      </c>
      <c r="AJ10" s="10" t="s">
        <v>199</v>
      </c>
      <c r="AK10" s="11" t="str">
        <f t="shared" si="16"/>
        <v/>
      </c>
      <c r="AL10" s="10" t="s">
        <v>210</v>
      </c>
      <c r="AM10" s="11" t="str">
        <f t="shared" si="17"/>
        <v/>
      </c>
      <c r="AN10" s="10" t="s">
        <v>211</v>
      </c>
      <c r="AO10" s="11" t="str">
        <f t="shared" si="18"/>
        <v/>
      </c>
      <c r="AP10" s="10" t="s">
        <v>199</v>
      </c>
      <c r="AQ10" s="11" t="str">
        <f t="shared" si="19"/>
        <v/>
      </c>
      <c r="AR10" s="10" t="s">
        <v>211</v>
      </c>
      <c r="AS10" s="11" t="str">
        <f t="shared" si="20"/>
        <v/>
      </c>
      <c r="AT10" s="10" t="s">
        <v>212</v>
      </c>
      <c r="AU10" s="11" t="str">
        <f t="shared" si="21"/>
        <v/>
      </c>
    </row>
    <row r="11" spans="1:47" ht="14.45" customHeight="1" x14ac:dyDescent="0.25">
      <c r="A11" s="11">
        <v>9</v>
      </c>
      <c r="B11" s="1" t="s">
        <v>213</v>
      </c>
      <c r="C11" s="1"/>
      <c r="D11" s="10" t="s">
        <v>207</v>
      </c>
      <c r="E11" s="11" t="str">
        <f t="shared" si="0"/>
        <v/>
      </c>
      <c r="F11" s="10" t="s">
        <v>214</v>
      </c>
      <c r="G11" s="11" t="str">
        <f t="shared" si="1"/>
        <v/>
      </c>
      <c r="H11" s="10" t="s">
        <v>207</v>
      </c>
      <c r="I11" s="11" t="str">
        <f t="shared" si="2"/>
        <v/>
      </c>
      <c r="J11" s="10" t="s">
        <v>192</v>
      </c>
      <c r="K11" s="11" t="str">
        <f t="shared" si="3"/>
        <v/>
      </c>
      <c r="L11" s="10" t="s">
        <v>215</v>
      </c>
      <c r="M11" s="11" t="str">
        <f t="shared" si="4"/>
        <v/>
      </c>
      <c r="N11" s="10" t="s">
        <v>210</v>
      </c>
      <c r="O11" s="11" t="str">
        <f t="shared" si="5"/>
        <v/>
      </c>
      <c r="P11" s="10" t="s">
        <v>207</v>
      </c>
      <c r="Q11" s="11" t="str">
        <f t="shared" si="6"/>
        <v/>
      </c>
      <c r="R11" s="10" t="s">
        <v>207</v>
      </c>
      <c r="S11" s="11" t="str">
        <f t="shared" si="7"/>
        <v/>
      </c>
      <c r="T11" s="10" t="s">
        <v>216</v>
      </c>
      <c r="U11" s="11" t="str">
        <f t="shared" si="8"/>
        <v/>
      </c>
      <c r="V11" s="10" t="s">
        <v>216</v>
      </c>
      <c r="W11" s="11" t="str">
        <f t="shared" si="9"/>
        <v/>
      </c>
      <c r="X11" s="10" t="s">
        <v>217</v>
      </c>
      <c r="Y11" s="11" t="str">
        <f t="shared" si="10"/>
        <v/>
      </c>
      <c r="Z11" s="10" t="s">
        <v>216</v>
      </c>
      <c r="AA11" s="11" t="str">
        <f t="shared" si="11"/>
        <v/>
      </c>
      <c r="AB11" s="23" t="s">
        <v>217</v>
      </c>
      <c r="AC11" s="11" t="str">
        <f t="shared" si="12"/>
        <v/>
      </c>
      <c r="AD11" s="10" t="s">
        <v>218</v>
      </c>
      <c r="AE11" s="11" t="str">
        <f t="shared" si="13"/>
        <v/>
      </c>
      <c r="AF11" s="10" t="s">
        <v>219</v>
      </c>
      <c r="AG11" s="11" t="str">
        <f t="shared" si="14"/>
        <v/>
      </c>
      <c r="AH11" s="10" t="s">
        <v>220</v>
      </c>
      <c r="AI11" s="11" t="str">
        <f t="shared" si="15"/>
        <v/>
      </c>
      <c r="AJ11" s="10" t="s">
        <v>207</v>
      </c>
      <c r="AK11" s="11" t="str">
        <f t="shared" si="16"/>
        <v/>
      </c>
      <c r="AL11" s="10" t="s">
        <v>221</v>
      </c>
      <c r="AM11" s="11" t="str">
        <f t="shared" si="17"/>
        <v/>
      </c>
      <c r="AN11" s="10" t="s">
        <v>210</v>
      </c>
      <c r="AO11" s="11" t="str">
        <f t="shared" si="18"/>
        <v/>
      </c>
      <c r="AP11" s="10" t="s">
        <v>222</v>
      </c>
      <c r="AQ11" s="11" t="str">
        <f t="shared" si="19"/>
        <v/>
      </c>
      <c r="AR11" s="10" t="s">
        <v>294</v>
      </c>
      <c r="AS11" s="11" t="str">
        <f t="shared" si="20"/>
        <v/>
      </c>
      <c r="AT11" s="10" t="s">
        <v>199</v>
      </c>
      <c r="AU11" s="11" t="str">
        <f t="shared" si="21"/>
        <v/>
      </c>
    </row>
    <row r="12" spans="1:47" ht="14.45" customHeight="1" x14ac:dyDescent="0.25">
      <c r="A12" s="11">
        <v>10</v>
      </c>
      <c r="B12" s="1" t="s">
        <v>223</v>
      </c>
      <c r="C12" s="1"/>
      <c r="D12" s="10" t="s">
        <v>224</v>
      </c>
      <c r="E12" s="11" t="str">
        <f t="shared" si="0"/>
        <v/>
      </c>
      <c r="F12" s="10" t="s">
        <v>199</v>
      </c>
      <c r="G12" s="11" t="str">
        <f t="shared" si="1"/>
        <v/>
      </c>
      <c r="H12" s="10" t="s">
        <v>199</v>
      </c>
      <c r="I12" s="11" t="str">
        <f t="shared" si="2"/>
        <v/>
      </c>
      <c r="J12" s="10" t="s">
        <v>225</v>
      </c>
      <c r="K12" s="11" t="str">
        <f t="shared" si="3"/>
        <v/>
      </c>
      <c r="L12" s="10" t="s">
        <v>215</v>
      </c>
      <c r="M12" s="11" t="str">
        <f t="shared" si="4"/>
        <v/>
      </c>
      <c r="N12" s="10" t="s">
        <v>207</v>
      </c>
      <c r="O12" s="11" t="str">
        <f t="shared" si="5"/>
        <v/>
      </c>
      <c r="P12" s="10" t="s">
        <v>222</v>
      </c>
      <c r="Q12" s="11" t="str">
        <f t="shared" si="6"/>
        <v/>
      </c>
      <c r="R12" s="10" t="s">
        <v>226</v>
      </c>
      <c r="S12" s="11" t="str">
        <f t="shared" si="7"/>
        <v/>
      </c>
      <c r="T12" s="10" t="s">
        <v>210</v>
      </c>
      <c r="U12" s="11" t="str">
        <f t="shared" si="8"/>
        <v/>
      </c>
      <c r="V12" s="10" t="s">
        <v>199</v>
      </c>
      <c r="W12" s="11" t="str">
        <f t="shared" si="9"/>
        <v/>
      </c>
      <c r="X12" s="10" t="s">
        <v>194</v>
      </c>
      <c r="Y12" s="11" t="str">
        <f t="shared" si="10"/>
        <v/>
      </c>
      <c r="Z12" s="10" t="s">
        <v>216</v>
      </c>
      <c r="AA12" s="11" t="str">
        <f t="shared" si="11"/>
        <v/>
      </c>
      <c r="AB12" s="23" t="s">
        <v>199</v>
      </c>
      <c r="AC12" s="11" t="str">
        <f t="shared" si="12"/>
        <v/>
      </c>
      <c r="AD12" s="10" t="s">
        <v>227</v>
      </c>
      <c r="AE12" s="11" t="str">
        <f t="shared" si="13"/>
        <v/>
      </c>
      <c r="AF12" s="10" t="s">
        <v>199</v>
      </c>
      <c r="AG12" s="11" t="str">
        <f t="shared" si="14"/>
        <v/>
      </c>
      <c r="AH12" s="10" t="s">
        <v>199</v>
      </c>
      <c r="AI12" s="11" t="str">
        <f t="shared" si="15"/>
        <v/>
      </c>
      <c r="AJ12" s="10" t="s">
        <v>219</v>
      </c>
      <c r="AK12" s="11" t="str">
        <f t="shared" si="16"/>
        <v/>
      </c>
      <c r="AL12" s="10" t="s">
        <v>199</v>
      </c>
      <c r="AM12" s="11" t="str">
        <f t="shared" si="17"/>
        <v/>
      </c>
      <c r="AN12" s="10" t="s">
        <v>207</v>
      </c>
      <c r="AO12" s="11" t="str">
        <f t="shared" si="18"/>
        <v/>
      </c>
      <c r="AP12" s="10" t="s">
        <v>199</v>
      </c>
      <c r="AQ12" s="11" t="str">
        <f t="shared" si="19"/>
        <v/>
      </c>
      <c r="AR12" s="10" t="s">
        <v>222</v>
      </c>
      <c r="AS12" s="11" t="str">
        <f t="shared" si="20"/>
        <v/>
      </c>
      <c r="AT12" s="10" t="s">
        <v>212</v>
      </c>
      <c r="AU12" s="11" t="str">
        <f t="shared" si="21"/>
        <v/>
      </c>
    </row>
    <row r="13" spans="1:47" ht="14.45" customHeight="1" x14ac:dyDescent="0.25">
      <c r="A13" s="11">
        <v>11</v>
      </c>
      <c r="B13" s="1" t="s">
        <v>228</v>
      </c>
      <c r="C13" s="1"/>
      <c r="D13" s="10" t="s">
        <v>207</v>
      </c>
      <c r="E13" s="11" t="str">
        <f t="shared" si="0"/>
        <v/>
      </c>
      <c r="F13" s="10" t="s">
        <v>217</v>
      </c>
      <c r="G13" s="11" t="str">
        <f t="shared" si="1"/>
        <v/>
      </c>
      <c r="H13" s="10" t="s">
        <v>207</v>
      </c>
      <c r="I13" s="11" t="str">
        <f t="shared" si="2"/>
        <v/>
      </c>
      <c r="J13" s="10" t="s">
        <v>207</v>
      </c>
      <c r="K13" s="11" t="str">
        <f t="shared" si="3"/>
        <v/>
      </c>
      <c r="L13" s="10" t="s">
        <v>231</v>
      </c>
      <c r="M13" s="11" t="str">
        <f t="shared" si="4"/>
        <v/>
      </c>
      <c r="N13" s="10" t="s">
        <v>229</v>
      </c>
      <c r="O13" s="11" t="str">
        <f t="shared" si="5"/>
        <v/>
      </c>
      <c r="P13" s="10" t="s">
        <v>230</v>
      </c>
      <c r="Q13" s="11" t="str">
        <f t="shared" si="6"/>
        <v/>
      </c>
      <c r="R13" s="23" t="s">
        <v>207</v>
      </c>
      <c r="S13" s="11" t="str">
        <f t="shared" si="7"/>
        <v/>
      </c>
      <c r="T13" s="10" t="s">
        <v>207</v>
      </c>
      <c r="U13" s="11" t="str">
        <f t="shared" si="8"/>
        <v/>
      </c>
      <c r="V13" s="10" t="s">
        <v>207</v>
      </c>
      <c r="W13" s="11" t="str">
        <f t="shared" si="9"/>
        <v/>
      </c>
      <c r="X13" s="10" t="s">
        <v>207</v>
      </c>
      <c r="Y13" s="11" t="str">
        <f t="shared" si="10"/>
        <v/>
      </c>
      <c r="Z13" s="10" t="s">
        <v>207</v>
      </c>
      <c r="AA13" s="11" t="str">
        <f t="shared" si="11"/>
        <v/>
      </c>
      <c r="AB13" s="23" t="s">
        <v>207</v>
      </c>
      <c r="AC13" s="11" t="str">
        <f t="shared" si="12"/>
        <v/>
      </c>
      <c r="AD13" s="10" t="s">
        <v>217</v>
      </c>
      <c r="AE13" s="11" t="str">
        <f t="shared" si="13"/>
        <v/>
      </c>
      <c r="AF13" s="10" t="s">
        <v>219</v>
      </c>
      <c r="AG13" s="11" t="str">
        <f t="shared" si="14"/>
        <v/>
      </c>
      <c r="AH13" s="10" t="s">
        <v>231</v>
      </c>
      <c r="AI13" s="11" t="str">
        <f t="shared" si="15"/>
        <v/>
      </c>
      <c r="AJ13" s="10" t="s">
        <v>207</v>
      </c>
      <c r="AK13" s="11" t="str">
        <f t="shared" si="16"/>
        <v/>
      </c>
      <c r="AL13" s="10" t="s">
        <v>207</v>
      </c>
      <c r="AM13" s="11" t="str">
        <f t="shared" si="17"/>
        <v/>
      </c>
      <c r="AN13" s="10" t="s">
        <v>232</v>
      </c>
      <c r="AO13" s="11" t="str">
        <f t="shared" si="18"/>
        <v/>
      </c>
      <c r="AP13" s="10" t="s">
        <v>207</v>
      </c>
      <c r="AQ13" s="11" t="str">
        <f t="shared" si="19"/>
        <v/>
      </c>
      <c r="AR13" s="10" t="s">
        <v>295</v>
      </c>
      <c r="AS13" s="11" t="str">
        <f t="shared" si="20"/>
        <v/>
      </c>
      <c r="AT13" s="10" t="s">
        <v>212</v>
      </c>
      <c r="AU13" s="11" t="str">
        <f t="shared" si="21"/>
        <v/>
      </c>
    </row>
    <row r="14" spans="1:47" ht="14.45" customHeight="1" x14ac:dyDescent="0.25">
      <c r="A14" s="11">
        <v>12</v>
      </c>
      <c r="B14" s="1" t="s">
        <v>233</v>
      </c>
      <c r="C14" s="1"/>
      <c r="D14" s="10" t="s">
        <v>234</v>
      </c>
      <c r="E14" s="11" t="str">
        <f t="shared" si="0"/>
        <v/>
      </c>
      <c r="F14" s="10" t="s">
        <v>235</v>
      </c>
      <c r="G14" s="11" t="str">
        <f t="shared" si="1"/>
        <v/>
      </c>
      <c r="H14" s="10" t="s">
        <v>236</v>
      </c>
      <c r="I14" s="11" t="str">
        <f t="shared" si="2"/>
        <v/>
      </c>
      <c r="J14" s="10" t="s">
        <v>237</v>
      </c>
      <c r="K14" s="11" t="str">
        <f t="shared" si="3"/>
        <v/>
      </c>
      <c r="L14" s="10" t="s">
        <v>238</v>
      </c>
      <c r="M14" s="11" t="str">
        <f t="shared" si="4"/>
        <v/>
      </c>
      <c r="N14" s="10" t="s">
        <v>239</v>
      </c>
      <c r="O14" s="11" t="str">
        <f t="shared" si="5"/>
        <v/>
      </c>
      <c r="P14" s="10" t="s">
        <v>237</v>
      </c>
      <c r="Q14" s="11" t="str">
        <f t="shared" si="6"/>
        <v/>
      </c>
      <c r="R14" s="10" t="s">
        <v>236</v>
      </c>
      <c r="S14" s="11" t="str">
        <f t="shared" si="7"/>
        <v/>
      </c>
      <c r="T14" s="10" t="s">
        <v>237</v>
      </c>
      <c r="U14" s="11" t="str">
        <f t="shared" si="8"/>
        <v/>
      </c>
      <c r="V14" s="10" t="s">
        <v>236</v>
      </c>
      <c r="W14" s="11" t="str">
        <f t="shared" si="9"/>
        <v/>
      </c>
      <c r="X14" s="10" t="s">
        <v>238</v>
      </c>
      <c r="Y14" s="11" t="str">
        <f t="shared" si="10"/>
        <v/>
      </c>
      <c r="Z14" s="10" t="s">
        <v>239</v>
      </c>
      <c r="AA14" s="11" t="str">
        <f t="shared" si="11"/>
        <v/>
      </c>
      <c r="AB14" s="23" t="s">
        <v>234</v>
      </c>
      <c r="AC14" s="11" t="str">
        <f t="shared" si="12"/>
        <v/>
      </c>
      <c r="AD14" s="10" t="s">
        <v>235</v>
      </c>
      <c r="AE14" s="11" t="str">
        <f t="shared" si="13"/>
        <v/>
      </c>
      <c r="AF14" s="10" t="s">
        <v>235</v>
      </c>
      <c r="AG14" s="11" t="str">
        <f t="shared" si="14"/>
        <v/>
      </c>
      <c r="AH14" s="10" t="s">
        <v>239</v>
      </c>
      <c r="AI14" s="11" t="str">
        <f t="shared" si="15"/>
        <v/>
      </c>
      <c r="AJ14" s="10" t="s">
        <v>240</v>
      </c>
      <c r="AK14" s="11" t="str">
        <f t="shared" si="16"/>
        <v/>
      </c>
      <c r="AL14" s="10" t="s">
        <v>241</v>
      </c>
      <c r="AM14" s="11" t="str">
        <f t="shared" si="17"/>
        <v/>
      </c>
      <c r="AN14" s="10" t="s">
        <v>241</v>
      </c>
      <c r="AO14" s="11" t="str">
        <f t="shared" si="18"/>
        <v/>
      </c>
      <c r="AP14" s="10" t="s">
        <v>238</v>
      </c>
      <c r="AQ14" s="11" t="str">
        <f t="shared" si="19"/>
        <v/>
      </c>
      <c r="AR14" s="10" t="s">
        <v>241</v>
      </c>
      <c r="AS14" s="11" t="str">
        <f t="shared" si="20"/>
        <v/>
      </c>
      <c r="AT14" s="10" t="s">
        <v>237</v>
      </c>
      <c r="AU14" s="11" t="str">
        <f t="shared" si="21"/>
        <v/>
      </c>
    </row>
    <row r="15" spans="1:47" ht="14.45" customHeight="1" x14ac:dyDescent="0.25">
      <c r="A15" s="11">
        <v>13</v>
      </c>
      <c r="B15" s="1" t="s">
        <v>242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196</v>
      </c>
      <c r="AO15" s="11" t="str">
        <f t="shared" si="18"/>
        <v/>
      </c>
      <c r="AP15" s="10" t="s">
        <v>243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5" customHeight="1" x14ac:dyDescent="0.25">
      <c r="A16" s="11">
        <v>14</v>
      </c>
      <c r="B16" s="1" t="s">
        <v>244</v>
      </c>
      <c r="C16" s="1"/>
      <c r="D16" s="10" t="s">
        <v>245</v>
      </c>
      <c r="E16" s="11" t="str">
        <f t="shared" si="0"/>
        <v/>
      </c>
      <c r="F16" s="10" t="s">
        <v>246</v>
      </c>
      <c r="G16" s="11" t="str">
        <f t="shared" si="1"/>
        <v/>
      </c>
      <c r="H16" s="10" t="s">
        <v>247</v>
      </c>
      <c r="I16" s="11" t="str">
        <f t="shared" si="2"/>
        <v/>
      </c>
      <c r="J16" s="10" t="s">
        <v>248</v>
      </c>
      <c r="K16" s="11" t="str">
        <f t="shared" si="3"/>
        <v/>
      </c>
      <c r="L16" s="10" t="s">
        <v>248</v>
      </c>
      <c r="M16" s="11" t="str">
        <f t="shared" si="4"/>
        <v/>
      </c>
      <c r="N16" s="10" t="s">
        <v>245</v>
      </c>
      <c r="O16" s="11" t="str">
        <f t="shared" si="5"/>
        <v/>
      </c>
      <c r="P16" s="10" t="s">
        <v>246</v>
      </c>
      <c r="Q16" s="11" t="str">
        <f t="shared" si="6"/>
        <v/>
      </c>
      <c r="R16" s="10" t="s">
        <v>246</v>
      </c>
      <c r="S16" s="11" t="str">
        <f t="shared" si="7"/>
        <v/>
      </c>
      <c r="T16" s="10" t="s">
        <v>249</v>
      </c>
      <c r="U16" s="11" t="str">
        <f t="shared" si="8"/>
        <v/>
      </c>
      <c r="V16" s="10" t="s">
        <v>246</v>
      </c>
      <c r="W16" s="11" t="str">
        <f t="shared" si="9"/>
        <v/>
      </c>
      <c r="X16" s="10" t="s">
        <v>246</v>
      </c>
      <c r="Y16" s="11" t="str">
        <f t="shared" si="10"/>
        <v/>
      </c>
      <c r="Z16" s="29" t="s">
        <v>248</v>
      </c>
      <c r="AA16" s="11" t="str">
        <f t="shared" si="11"/>
        <v/>
      </c>
      <c r="AB16" s="23" t="s">
        <v>246</v>
      </c>
      <c r="AC16" s="11" t="str">
        <f t="shared" si="12"/>
        <v/>
      </c>
      <c r="AD16" s="10" t="s">
        <v>250</v>
      </c>
      <c r="AE16" s="11" t="str">
        <f t="shared" si="13"/>
        <v/>
      </c>
      <c r="AF16" s="10" t="s">
        <v>246</v>
      </c>
      <c r="AG16" s="11" t="str">
        <f t="shared" si="14"/>
        <v/>
      </c>
      <c r="AH16" s="10" t="s">
        <v>247</v>
      </c>
      <c r="AI16" s="11" t="str">
        <f t="shared" si="15"/>
        <v/>
      </c>
      <c r="AJ16" s="10" t="s">
        <v>246</v>
      </c>
      <c r="AK16" s="11" t="str">
        <f t="shared" si="16"/>
        <v/>
      </c>
      <c r="AL16" s="31" t="s">
        <v>245</v>
      </c>
      <c r="AM16" s="11" t="str">
        <f t="shared" si="17"/>
        <v/>
      </c>
      <c r="AN16" s="10" t="s">
        <v>247</v>
      </c>
      <c r="AO16" s="11" t="str">
        <f t="shared" si="18"/>
        <v/>
      </c>
      <c r="AP16" s="10" t="s">
        <v>246</v>
      </c>
      <c r="AQ16" s="11" t="str">
        <f t="shared" si="19"/>
        <v/>
      </c>
      <c r="AR16" s="10" t="s">
        <v>296</v>
      </c>
      <c r="AS16" s="11" t="str">
        <f t="shared" si="20"/>
        <v/>
      </c>
      <c r="AT16" s="10" t="s">
        <v>247</v>
      </c>
      <c r="AU16" s="11" t="str">
        <f t="shared" si="21"/>
        <v/>
      </c>
    </row>
    <row r="17" spans="1:47" ht="14.45" customHeight="1" x14ac:dyDescent="0.25">
      <c r="A17" s="11"/>
      <c r="B17" s="14" t="s">
        <v>251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tabSelected="1" workbookViewId="0">
      <pane ySplit="1" topLeftCell="A2" activePane="bottomLeft" state="frozen"/>
      <selection pane="bottomLeft" activeCell="A7" sqref="A7:XFD7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7" t="s">
        <v>252</v>
      </c>
      <c r="B1" s="17"/>
      <c r="C1" s="17"/>
      <c r="D1" s="17"/>
      <c r="E1" s="17"/>
    </row>
    <row r="2" spans="1:5" ht="18" customHeight="1" x14ac:dyDescent="0.25">
      <c r="A2" s="16" t="s">
        <v>253</v>
      </c>
      <c r="B2" s="16" t="s">
        <v>254</v>
      </c>
      <c r="C2" s="16" t="s">
        <v>255</v>
      </c>
      <c r="D2" s="16" t="s">
        <v>256</v>
      </c>
      <c r="E2" s="16" t="s">
        <v>257</v>
      </c>
    </row>
    <row r="3" spans="1:5" ht="18" customHeight="1" x14ac:dyDescent="0.25">
      <c r="A3" s="11">
        <f>_xlfn.RANK.EQ(E3,$E$3:$E$90,0)</f>
        <v>1</v>
      </c>
      <c r="B3" s="1" t="str">
        <f>Wedstrijden_beheer!E1</f>
        <v>Roland</v>
      </c>
      <c r="C3" s="11">
        <f>SUM(Wedstrijden_beheer!F3:'Wedstrijden_beheer'!F194)</f>
        <v>367</v>
      </c>
      <c r="D3" s="11">
        <f>Bonus_beheer!E17</f>
        <v>0</v>
      </c>
      <c r="E3" s="11">
        <f>C3+D3</f>
        <v>367</v>
      </c>
    </row>
    <row r="4" spans="1:5" ht="18" customHeight="1" x14ac:dyDescent="0.25">
      <c r="A4" s="11">
        <f>_xlfn.RANK.EQ(E4,$E$3:$E$90,0)</f>
        <v>2</v>
      </c>
      <c r="B4" s="1" t="str">
        <f>Wedstrijden_beheer!U1</f>
        <v>Tom</v>
      </c>
      <c r="C4" s="11">
        <f>SUM(Wedstrijden_beheer!V3:'Wedstrijden_beheer'!V194)</f>
        <v>361</v>
      </c>
      <c r="D4" s="11">
        <f>Bonus_beheer!U17</f>
        <v>0</v>
      </c>
      <c r="E4" s="11">
        <f>C4+D4</f>
        <v>361</v>
      </c>
    </row>
    <row r="5" spans="1:5" ht="18" customHeight="1" x14ac:dyDescent="0.25">
      <c r="A5" s="11">
        <f>_xlfn.RANK.EQ(E5,$E$3:$E$90,0)</f>
        <v>3</v>
      </c>
      <c r="B5" s="1" t="str">
        <f>Wedstrijden_beheer!AE1</f>
        <v>Jeroen</v>
      </c>
      <c r="C5" s="11">
        <f>SUM(Wedstrijden_beheer!AF3:'Wedstrijden_beheer'!AF194)</f>
        <v>360</v>
      </c>
      <c r="D5" s="11">
        <f>Bonus_beheer!AE17</f>
        <v>0</v>
      </c>
      <c r="E5" s="11">
        <f>C5+D5</f>
        <v>360</v>
      </c>
    </row>
    <row r="6" spans="1:5" ht="18" customHeight="1" x14ac:dyDescent="0.25">
      <c r="A6" s="11">
        <f>_xlfn.RANK.EQ(E6,$E$3:$E$90,0)</f>
        <v>4</v>
      </c>
      <c r="B6" s="1" t="str">
        <f>Wedstrijden_beheer!AO1</f>
        <v>Patrick</v>
      </c>
      <c r="C6" s="11">
        <f>SUM(Wedstrijden_beheer!AP3:'Wedstrijden_beheer'!AP194)</f>
        <v>356</v>
      </c>
      <c r="D6" s="11">
        <f>Bonus_beheer!AO17</f>
        <v>0</v>
      </c>
      <c r="E6" s="11">
        <f>C6+D6</f>
        <v>356</v>
      </c>
    </row>
    <row r="7" spans="1:5" ht="18" customHeight="1" x14ac:dyDescent="0.25">
      <c r="A7" s="11">
        <f>_xlfn.RANK.EQ(E7,$E$3:$E$90,0)</f>
        <v>5</v>
      </c>
      <c r="B7" s="1" t="str">
        <f>Wedstrijden_beheer!I1</f>
        <v>Abdussamed</v>
      </c>
      <c r="C7" s="11">
        <f>SUM(Wedstrijden_beheer!J3:'Wedstrijden_beheer'!J194)</f>
        <v>350</v>
      </c>
      <c r="D7" s="11">
        <f>Bonus_beheer!I17</f>
        <v>0</v>
      </c>
      <c r="E7" s="11">
        <f>C7+D7</f>
        <v>350</v>
      </c>
    </row>
    <row r="8" spans="1:5" ht="18" customHeight="1" x14ac:dyDescent="0.25">
      <c r="A8" s="11">
        <f>_xlfn.RANK.EQ(E8,$E$3:$E$90,0)</f>
        <v>6</v>
      </c>
      <c r="B8" s="1" t="str">
        <f>Wedstrijden_beheer!AA1</f>
        <v>Ivo</v>
      </c>
      <c r="C8" s="11">
        <f>SUM(Wedstrijden_beheer!AB3:'Wedstrijden_beheer'!AB194)</f>
        <v>349</v>
      </c>
      <c r="D8" s="11">
        <f>Bonus_beheer!AA17</f>
        <v>0</v>
      </c>
      <c r="E8" s="11">
        <f>C8+D8</f>
        <v>349</v>
      </c>
    </row>
    <row r="9" spans="1:5" ht="18" customHeight="1" x14ac:dyDescent="0.25">
      <c r="A9" s="11">
        <f>_xlfn.RANK.EQ(E9,$E$3:$E$90,0)</f>
        <v>7</v>
      </c>
      <c r="B9" s="1" t="str">
        <f>Wedstrijden_beheer!AK1</f>
        <v>Kim</v>
      </c>
      <c r="C9" s="11">
        <f>SUM(Wedstrijden_beheer!AL3:'Wedstrijden_beheer'!AL194)</f>
        <v>347</v>
      </c>
      <c r="D9" s="11">
        <f>Bonus_beheer!AK17</f>
        <v>0</v>
      </c>
      <c r="E9" s="11">
        <f>C9+D9</f>
        <v>347</v>
      </c>
    </row>
    <row r="10" spans="1:5" ht="18" customHeight="1" x14ac:dyDescent="0.25">
      <c r="A10" s="11">
        <f>_xlfn.RANK.EQ(E10,$E$3:$E$90,0)</f>
        <v>8</v>
      </c>
      <c r="B10" s="1" t="str">
        <f>Wedstrijden_beheer!Y1</f>
        <v>Lesley</v>
      </c>
      <c r="C10" s="11">
        <f>SUM(Wedstrijden_beheer!Z3:'Wedstrijden_beheer'!Z194)</f>
        <v>346</v>
      </c>
      <c r="D10" s="11">
        <f>Bonus_beheer!Y17</f>
        <v>0</v>
      </c>
      <c r="E10" s="11">
        <f>C10+D10</f>
        <v>346</v>
      </c>
    </row>
    <row r="11" spans="1:5" ht="18" customHeight="1" x14ac:dyDescent="0.25">
      <c r="A11" s="11">
        <f>_xlfn.RANK.EQ(E11,$E$3:$E$90,0)</f>
        <v>9</v>
      </c>
      <c r="B11" s="1" t="str">
        <f>Wedstrijden_beheer!O1</f>
        <v>Maik</v>
      </c>
      <c r="C11" s="11">
        <f>SUM(Wedstrijden_beheer!P3:'Wedstrijden_beheer'!P194)</f>
        <v>335</v>
      </c>
      <c r="D11" s="11">
        <f>Bonus_beheer!O17</f>
        <v>0</v>
      </c>
      <c r="E11" s="11">
        <f>C11+D11</f>
        <v>335</v>
      </c>
    </row>
    <row r="12" spans="1:5" ht="18" customHeight="1" x14ac:dyDescent="0.25">
      <c r="A12" s="11">
        <f>_xlfn.RANK.EQ(E12,$E$3:$E$90,0)</f>
        <v>10</v>
      </c>
      <c r="B12" s="1" t="str">
        <f>Wedstrijden_beheer!AG1</f>
        <v>Erwin</v>
      </c>
      <c r="C12" s="11">
        <f>SUM(Wedstrijden_beheer!AH3:'Wedstrijden_beheer'!AH194)</f>
        <v>333</v>
      </c>
      <c r="D12" s="11">
        <f>Bonus_beheer!AG17</f>
        <v>0</v>
      </c>
      <c r="E12" s="11">
        <f>C12+D12</f>
        <v>333</v>
      </c>
    </row>
    <row r="13" spans="1:5" ht="18" customHeight="1" x14ac:dyDescent="0.25">
      <c r="A13" s="11">
        <f>_xlfn.RANK.EQ(E13,$E$3:$E$90,0)</f>
        <v>11</v>
      </c>
      <c r="B13" s="1" t="str">
        <f>Wedstrijden_beheer!AM1</f>
        <v>Kristel</v>
      </c>
      <c r="C13" s="11">
        <f>SUM(Wedstrijden_beheer!AN3:'Wedstrijden_beheer'!AN194)</f>
        <v>330</v>
      </c>
      <c r="D13" s="11">
        <f>Bonus_beheer!AM17</f>
        <v>0</v>
      </c>
      <c r="E13" s="11">
        <f>C13+D13</f>
        <v>330</v>
      </c>
    </row>
    <row r="14" spans="1:5" ht="18" customHeight="1" x14ac:dyDescent="0.25">
      <c r="A14" s="11">
        <f>_xlfn.RANK.EQ(E14,$E$3:$E$90,0)</f>
        <v>12</v>
      </c>
      <c r="B14" s="1" t="str">
        <f>Wedstrijden_beheer!W1</f>
        <v>Jos</v>
      </c>
      <c r="C14" s="11">
        <f>SUM(Wedstrijden_beheer!X3:'Wedstrijden_beheer'!X194)</f>
        <v>328</v>
      </c>
      <c r="D14" s="11">
        <f>Bonus_beheer!W17</f>
        <v>0</v>
      </c>
      <c r="E14" s="11">
        <f>C14+D14</f>
        <v>328</v>
      </c>
    </row>
    <row r="15" spans="1:5" ht="18" customHeight="1" x14ac:dyDescent="0.25">
      <c r="A15" s="11">
        <f>_xlfn.RANK.EQ(E15,$E$3:$E$90,0)</f>
        <v>13</v>
      </c>
      <c r="B15" s="1" t="str">
        <f>Wedstrijden_beheer!AU1</f>
        <v>Raymond</v>
      </c>
      <c r="C15" s="11">
        <f>SUM(Wedstrijden_beheer!AV3:'Wedstrijden_beheer'!AV194)</f>
        <v>321</v>
      </c>
      <c r="D15" s="11">
        <f>Bonus_beheer!AU17</f>
        <v>0</v>
      </c>
      <c r="E15" s="11">
        <f>C15+D15</f>
        <v>321</v>
      </c>
    </row>
    <row r="16" spans="1:5" ht="18" customHeight="1" x14ac:dyDescent="0.25">
      <c r="A16" s="11">
        <f>_xlfn.RANK.EQ(E16,$E$3:$E$90,0)</f>
        <v>13</v>
      </c>
      <c r="B16" s="1" t="str">
        <f>Wedstrijden_beheer!AQ1</f>
        <v>Jeno</v>
      </c>
      <c r="C16" s="11">
        <f>SUM(Wedstrijden_beheer!AV4:'Wedstrijden_beheer'!AV195)</f>
        <v>321</v>
      </c>
      <c r="D16" s="11">
        <f>Bonus_beheer!AU18</f>
        <v>0</v>
      </c>
      <c r="E16" s="11">
        <f>C16+D16</f>
        <v>321</v>
      </c>
    </row>
    <row r="17" spans="1:5" ht="18" customHeight="1" x14ac:dyDescent="0.25">
      <c r="A17" s="11">
        <f>_xlfn.RANK.EQ(E17,$E$3:$E$90,0)</f>
        <v>15</v>
      </c>
      <c r="B17" s="1" t="str">
        <f>Wedstrijden_beheer!G1</f>
        <v>Nikki</v>
      </c>
      <c r="C17" s="11">
        <f>SUM(Wedstrijden_beheer!H3:'Wedstrijden_beheer'!H194)</f>
        <v>301</v>
      </c>
      <c r="D17" s="11">
        <f>Bonus_beheer!G17</f>
        <v>0</v>
      </c>
      <c r="E17" s="11">
        <f>C17+D17</f>
        <v>301</v>
      </c>
    </row>
    <row r="18" spans="1:5" ht="18" customHeight="1" x14ac:dyDescent="0.25">
      <c r="A18" s="11">
        <f>_xlfn.RANK.EQ(E18,$E$3:$E$90,0)</f>
        <v>16</v>
      </c>
      <c r="B18" s="1" t="str">
        <f>Wedstrijden_beheer!M1</f>
        <v>Bas</v>
      </c>
      <c r="C18" s="11">
        <f>SUM(Wedstrijden_beheer!N3:'Wedstrijden_beheer'!N194)</f>
        <v>299</v>
      </c>
      <c r="D18" s="11">
        <f>Bonus_beheer!M17</f>
        <v>0</v>
      </c>
      <c r="E18" s="11">
        <f>C18+D18</f>
        <v>299</v>
      </c>
    </row>
    <row r="19" spans="1:5" ht="18" customHeight="1" x14ac:dyDescent="0.25">
      <c r="A19" s="11">
        <f>_xlfn.RANK.EQ(E19,$E$3:$E$90,0)</f>
        <v>17</v>
      </c>
      <c r="B19" s="1" t="str">
        <f>Wedstrijden_beheer!AC1</f>
        <v>Ron</v>
      </c>
      <c r="C19" s="11">
        <f>SUM(Wedstrijden_beheer!AD3:'Wedstrijden_beheer'!AD194)</f>
        <v>296</v>
      </c>
      <c r="D19" s="11">
        <f>Bonus_beheer!AC17</f>
        <v>0</v>
      </c>
      <c r="E19" s="11">
        <f>C19+D19</f>
        <v>296</v>
      </c>
    </row>
    <row r="20" spans="1:5" ht="18" customHeight="1" x14ac:dyDescent="0.25">
      <c r="A20" s="11">
        <f>_xlfn.RANK.EQ(E20,$E$3:$E$90,0)</f>
        <v>18</v>
      </c>
      <c r="B20" s="1" t="str">
        <f>Wedstrijden_beheer!K1</f>
        <v>Karsten</v>
      </c>
      <c r="C20" s="11">
        <f>SUM(Wedstrijden_beheer!L3:'Wedstrijden_beheer'!L194)</f>
        <v>276</v>
      </c>
      <c r="D20" s="11">
        <f>Bonus_beheer!K17</f>
        <v>0</v>
      </c>
      <c r="E20" s="11">
        <f>C20+D20</f>
        <v>276</v>
      </c>
    </row>
    <row r="21" spans="1:5" ht="18" customHeight="1" x14ac:dyDescent="0.25">
      <c r="A21" s="11">
        <f>_xlfn.RANK.EQ(E21,$E$3:$E$90,0)</f>
        <v>18</v>
      </c>
      <c r="B21" s="1" t="str">
        <f>Wedstrijden_beheer!AI1</f>
        <v>Tim</v>
      </c>
      <c r="C21" s="11">
        <f>SUM(Wedstrijden_beheer!AJ3:'Wedstrijden_beheer'!AJ194)</f>
        <v>276</v>
      </c>
      <c r="D21" s="11">
        <f>Bonus_beheer!AI17</f>
        <v>0</v>
      </c>
      <c r="E21" s="11">
        <f>C21+D21</f>
        <v>276</v>
      </c>
    </row>
    <row r="22" spans="1:5" ht="18" customHeight="1" x14ac:dyDescent="0.25">
      <c r="A22" s="11">
        <f>_xlfn.RANK.EQ(E22,$E$3:$E$90,0)</f>
        <v>20</v>
      </c>
      <c r="B22" s="1" t="str">
        <f>Wedstrijden_beheer!Q1</f>
        <v>Simone</v>
      </c>
      <c r="C22" s="11">
        <f>SUM(Wedstrijden_beheer!R3:'Wedstrijden_beheer'!R194)</f>
        <v>275</v>
      </c>
      <c r="D22" s="11">
        <f>Bonus_beheer!Q17</f>
        <v>0</v>
      </c>
      <c r="E22" s="11">
        <f>C22+D22</f>
        <v>275</v>
      </c>
    </row>
    <row r="23" spans="1:5" x14ac:dyDescent="0.25">
      <c r="A23" s="11">
        <f>_xlfn.RANK.EQ(E23,$E$3:$E$90,0)</f>
        <v>20</v>
      </c>
      <c r="B23" s="1" t="str">
        <f>Wedstrijden_beheer!AS1</f>
        <v>Andre</v>
      </c>
      <c r="C23" s="11">
        <f>SUM(Wedstrijden_beheer!R4:'Wedstrijden_beheer'!R195)</f>
        <v>275</v>
      </c>
      <c r="D23" s="11">
        <f>Bonus_beheer!Q18</f>
        <v>0</v>
      </c>
      <c r="E23" s="11">
        <f>C23+D23</f>
        <v>275</v>
      </c>
    </row>
    <row r="24" spans="1:5" x14ac:dyDescent="0.25">
      <c r="A24" s="11">
        <f>_xlfn.RANK.EQ(E24,$E$3:$E$90,0)</f>
        <v>22</v>
      </c>
      <c r="B24" s="1" t="str">
        <f>Wedstrijden_beheer!S1</f>
        <v>Marc</v>
      </c>
      <c r="C24" s="11">
        <f>SUM(Wedstrijden_beheer!T3:'Wedstrijden_beheer'!T194)</f>
        <v>268</v>
      </c>
      <c r="D24" s="11">
        <f>Bonus_beheer!S17</f>
        <v>0</v>
      </c>
      <c r="E24" s="11">
        <f>C24+D24</f>
        <v>268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7" t="s">
        <v>258</v>
      </c>
      <c r="B1" s="17"/>
    </row>
    <row r="2" spans="1:2" ht="18" customHeight="1" x14ac:dyDescent="0.25">
      <c r="A2" s="16" t="s">
        <v>259</v>
      </c>
      <c r="B2" s="16" t="s">
        <v>260</v>
      </c>
    </row>
    <row r="3" spans="1:2" ht="18" customHeight="1" x14ac:dyDescent="0.25">
      <c r="A3" s="1" t="s">
        <v>261</v>
      </c>
      <c r="B3" s="1" t="s">
        <v>262</v>
      </c>
    </row>
    <row r="4" spans="1:2" ht="18" customHeight="1" x14ac:dyDescent="0.25">
      <c r="A4" s="1" t="s">
        <v>263</v>
      </c>
      <c r="B4" s="1" t="s">
        <v>262</v>
      </c>
    </row>
    <row r="5" spans="1:2" ht="18" customHeight="1" x14ac:dyDescent="0.25">
      <c r="A5" s="1" t="s">
        <v>264</v>
      </c>
      <c r="B5" s="1" t="s">
        <v>265</v>
      </c>
    </row>
    <row r="6" spans="1:2" ht="18" customHeight="1" x14ac:dyDescent="0.25">
      <c r="A6" s="1" t="s">
        <v>266</v>
      </c>
      <c r="B6" s="1" t="s">
        <v>267</v>
      </c>
    </row>
    <row r="7" spans="1:2" ht="18" customHeight="1" x14ac:dyDescent="0.25">
      <c r="A7" s="1" t="s">
        <v>268</v>
      </c>
      <c r="B7" s="1" t="s">
        <v>269</v>
      </c>
    </row>
    <row r="8" spans="1:2" ht="18" customHeight="1" x14ac:dyDescent="0.25">
      <c r="A8" s="1" t="s">
        <v>270</v>
      </c>
      <c r="B8" s="1" t="s">
        <v>271</v>
      </c>
    </row>
    <row r="9" spans="1:2" ht="18" customHeight="1" x14ac:dyDescent="0.25">
      <c r="A9" s="1" t="s">
        <v>272</v>
      </c>
      <c r="B9" s="1" t="s">
        <v>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7" t="s">
        <v>274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16" t="s">
        <v>259</v>
      </c>
      <c r="B2" s="16" t="s">
        <v>28</v>
      </c>
      <c r="C2" s="16" t="s">
        <v>275</v>
      </c>
    </row>
    <row r="3" spans="1:44" ht="18" customHeight="1" x14ac:dyDescent="0.25">
      <c r="A3" s="1" t="s">
        <v>276</v>
      </c>
      <c r="B3" s="1">
        <v>10</v>
      </c>
      <c r="C3" s="1" t="s">
        <v>277</v>
      </c>
    </row>
    <row r="4" spans="1:44" ht="18" customHeight="1" x14ac:dyDescent="0.25">
      <c r="A4" s="1" t="s">
        <v>278</v>
      </c>
      <c r="B4" s="1">
        <v>5</v>
      </c>
      <c r="C4" s="1" t="s">
        <v>279</v>
      </c>
    </row>
    <row r="5" spans="1:44" ht="18" customHeight="1" x14ac:dyDescent="0.25">
      <c r="A5" s="1" t="s">
        <v>280</v>
      </c>
      <c r="B5" s="1">
        <v>2</v>
      </c>
      <c r="C5" s="1" t="s">
        <v>281</v>
      </c>
    </row>
    <row r="6" spans="1:44" ht="18" customHeight="1" x14ac:dyDescent="0.25">
      <c r="A6" s="1" t="s">
        <v>282</v>
      </c>
      <c r="B6" s="1">
        <v>2</v>
      </c>
      <c r="C6" s="1" t="s">
        <v>283</v>
      </c>
    </row>
    <row r="7" spans="1:44" ht="18" customHeight="1" x14ac:dyDescent="0.25">
      <c r="A7" s="1" t="s">
        <v>284</v>
      </c>
      <c r="B7" s="1">
        <v>2</v>
      </c>
      <c r="C7" s="1" t="s">
        <v>285</v>
      </c>
    </row>
    <row r="8" spans="1:44" ht="18" customHeight="1" x14ac:dyDescent="0.25">
      <c r="A8" s="1" t="s">
        <v>286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topLeftCell="A10" zoomScale="190" zoomScaleNormal="190" workbookViewId="0">
      <selection activeCell="D20" sqref="D20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6" t="s">
        <v>287</v>
      </c>
      <c r="B1" s="26" t="s">
        <v>288</v>
      </c>
      <c r="C1" s="26" t="s">
        <v>289</v>
      </c>
    </row>
    <row r="2" spans="1:3" x14ac:dyDescent="0.25">
      <c r="A2" t="s">
        <v>290</v>
      </c>
      <c r="B2" t="s">
        <v>22</v>
      </c>
    </row>
    <row r="3" spans="1:3" x14ac:dyDescent="0.25">
      <c r="B3" t="s">
        <v>23</v>
      </c>
    </row>
    <row r="4" spans="1:3" x14ac:dyDescent="0.25">
      <c r="B4" t="s">
        <v>24</v>
      </c>
    </row>
    <row r="5" spans="1:3" x14ac:dyDescent="0.25">
      <c r="B5" t="s">
        <v>291</v>
      </c>
    </row>
    <row r="6" spans="1:3" x14ac:dyDescent="0.25">
      <c r="B6" t="s">
        <v>20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3" x14ac:dyDescent="0.25">
      <c r="B17" t="s">
        <v>5</v>
      </c>
    </row>
    <row r="18" spans="2:3" x14ac:dyDescent="0.25">
      <c r="B18" t="s">
        <v>4</v>
      </c>
    </row>
    <row r="19" spans="2:3" x14ac:dyDescent="0.25">
      <c r="B19" t="s">
        <v>21</v>
      </c>
    </row>
    <row r="20" spans="2:3" x14ac:dyDescent="0.25">
      <c r="B20" t="s">
        <v>14</v>
      </c>
    </row>
    <row r="21" spans="2:3" x14ac:dyDescent="0.25">
      <c r="B21" t="s">
        <v>13</v>
      </c>
    </row>
    <row r="22" spans="2:3" x14ac:dyDescent="0.25">
      <c r="B22" t="s">
        <v>18</v>
      </c>
    </row>
    <row r="23" spans="2:3" x14ac:dyDescent="0.25">
      <c r="C23" t="s">
        <v>292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367818C-8D56-468A-9A53-C7AB90E97273}">
  <ds:schemaRefs>
    <ds:schemaRef ds:uri="7b90d758-d430-4ffd-9227-0f539ac48821"/>
    <ds:schemaRef ds:uri="http://schemas.openxmlformats.org/package/2006/metadata/core-properties"/>
    <ds:schemaRef ds:uri="http://schemas.microsoft.com/office/infopath/2007/PartnerControls"/>
    <ds:schemaRef ds:uri="http://purl.org/dc/terms/"/>
    <ds:schemaRef ds:uri="http://purl.org/dc/dcmitype/"/>
    <ds:schemaRef ds:uri="http://schemas.microsoft.com/office/2006/documentManagement/types"/>
    <ds:schemaRef ds:uri="http://www.w3.org/XML/1998/namespace"/>
    <ds:schemaRef ds:uri="7c2036e6-2c6c-4cc0-93d3-66cc911cb074"/>
    <ds:schemaRef ds:uri="http://schemas.microsoft.com/office/2006/metadata/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2026-06-28T06:11:17Z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