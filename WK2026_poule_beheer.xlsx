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1483" documentId="8_{E82BF418-5EC5-4A9D-9227-B9F99AE92E74}" xr6:coauthVersionLast="47" xr6:coauthVersionMax="47" xr10:uidLastSave="{ADF77DD2-2785-4E36-BB7D-8E34393317E0}"/>
  <bookViews>
    <workbookView xWindow="-120" yWindow="-120" windowWidth="29040" windowHeight="15720" activeTab="2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19" i="1"/>
  <c r="AT21" i="1"/>
  <c r="AT26" i="1"/>
  <c r="AT27" i="1"/>
  <c r="AT31" i="1"/>
  <c r="AT32" i="1"/>
  <c r="AT36" i="1"/>
  <c r="AT37" i="1"/>
  <c r="AT38" i="1"/>
  <c r="AT39" i="1"/>
  <c r="AT41" i="1"/>
  <c r="AT42" i="1"/>
  <c r="AT43" i="1"/>
  <c r="AT44" i="1"/>
  <c r="AT45" i="1"/>
  <c r="AT47" i="1"/>
  <c r="AT48" i="1"/>
  <c r="AT49" i="1"/>
  <c r="AT50" i="1"/>
  <c r="AT52" i="1"/>
  <c r="AT53" i="1"/>
  <c r="AT54" i="1"/>
  <c r="AT55" i="1"/>
  <c r="AT56" i="1"/>
  <c r="AT57" i="1"/>
  <c r="AT59" i="1"/>
  <c r="AT60" i="1"/>
  <c r="AT61" i="1"/>
  <c r="AT62" i="1"/>
  <c r="AT63" i="1"/>
  <c r="AT65" i="1"/>
  <c r="AT66" i="1"/>
  <c r="AT67" i="1"/>
  <c r="AT68" i="1"/>
  <c r="AT69" i="1"/>
  <c r="AT71" i="1"/>
  <c r="AT72" i="1"/>
  <c r="AT73" i="1"/>
  <c r="AT74" i="1"/>
  <c r="AT75" i="1"/>
  <c r="AT77" i="1"/>
  <c r="AT78" i="1"/>
  <c r="AT79" i="1"/>
  <c r="AT80" i="1"/>
  <c r="AT81" i="1"/>
  <c r="AT83" i="1"/>
  <c r="AT84" i="1"/>
  <c r="AT85" i="1"/>
  <c r="AT86" i="1"/>
  <c r="AT87" i="1"/>
  <c r="AT88" i="1"/>
  <c r="AT89" i="1"/>
  <c r="AT91" i="1"/>
  <c r="AT92" i="1"/>
  <c r="AT93" i="1"/>
  <c r="AT94" i="1"/>
  <c r="AT95" i="1"/>
  <c r="AT96" i="1"/>
  <c r="AT97" i="1"/>
  <c r="AT99" i="1"/>
  <c r="AT100" i="1"/>
  <c r="AT101" i="1"/>
  <c r="AT102" i="1"/>
  <c r="AT103" i="1"/>
  <c r="AT104" i="1"/>
  <c r="AT105" i="1"/>
  <c r="AT107" i="1"/>
  <c r="AT108" i="1"/>
  <c r="AT109" i="1"/>
  <c r="AT110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18" i="3"/>
  <c r="D18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30" i="1"/>
  <c r="AV31" i="1"/>
  <c r="AV34" i="1"/>
  <c r="AV36" i="1"/>
  <c r="AV37" i="1"/>
  <c r="AV38" i="1"/>
  <c r="AV41" i="1"/>
  <c r="AV42" i="1"/>
  <c r="AV43" i="1"/>
  <c r="AV44" i="1"/>
  <c r="AV47" i="1"/>
  <c r="AV48" i="1"/>
  <c r="AV49" i="1"/>
  <c r="AV52" i="1"/>
  <c r="AV53" i="1"/>
  <c r="AV54" i="1"/>
  <c r="AV55" i="1"/>
  <c r="AV56" i="1"/>
  <c r="AV59" i="1"/>
  <c r="AV60" i="1"/>
  <c r="AV61" i="1"/>
  <c r="AV62" i="1"/>
  <c r="AV65" i="1"/>
  <c r="AV66" i="1"/>
  <c r="AV67" i="1"/>
  <c r="AV68" i="1"/>
  <c r="AV71" i="1"/>
  <c r="AV72" i="1"/>
  <c r="AV73" i="1"/>
  <c r="AV74" i="1"/>
  <c r="AV77" i="1"/>
  <c r="AV78" i="1"/>
  <c r="AV79" i="1"/>
  <c r="AV80" i="1"/>
  <c r="AV83" i="1"/>
  <c r="AV84" i="1"/>
  <c r="AV85" i="1"/>
  <c r="AV86" i="1"/>
  <c r="AV87" i="1"/>
  <c r="AV88" i="1"/>
  <c r="AV91" i="1"/>
  <c r="AV92" i="1"/>
  <c r="AV93" i="1"/>
  <c r="AV94" i="1"/>
  <c r="AV95" i="1"/>
  <c r="AV96" i="1"/>
  <c r="AV99" i="1"/>
  <c r="AV100" i="1"/>
  <c r="AV101" i="1"/>
  <c r="AV102" i="1"/>
  <c r="AV103" i="1"/>
  <c r="AV104" i="1"/>
  <c r="AV107" i="1"/>
  <c r="AV108" i="1"/>
  <c r="AV109" i="1"/>
  <c r="AV110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17" i="3"/>
  <c r="B3" i="3"/>
  <c r="B9" i="3"/>
  <c r="B10" i="3"/>
  <c r="B20" i="3"/>
  <c r="B11" i="3"/>
  <c r="B13" i="3"/>
  <c r="B14" i="3"/>
  <c r="B16" i="3"/>
  <c r="B19" i="3"/>
  <c r="B24" i="3"/>
  <c r="B21" i="3"/>
  <c r="B22" i="3"/>
  <c r="B15" i="3"/>
  <c r="D15" i="3"/>
  <c r="B12" i="3"/>
  <c r="B4" i="3"/>
  <c r="B7" i="3"/>
  <c r="B23" i="3"/>
  <c r="B5" i="3"/>
  <c r="B8" i="3"/>
  <c r="B6" i="3"/>
  <c r="AR6" i="1"/>
  <c r="AR10" i="1"/>
  <c r="AR14" i="1"/>
  <c r="AR20" i="1"/>
  <c r="AR21" i="1"/>
  <c r="AR27" i="1"/>
  <c r="AR30" i="1"/>
  <c r="AR31" i="1"/>
  <c r="AR32" i="1"/>
  <c r="AR35" i="1"/>
  <c r="AR36" i="1"/>
  <c r="AR37" i="1"/>
  <c r="AR38" i="1"/>
  <c r="AR39" i="1"/>
  <c r="AR41" i="1"/>
  <c r="AR42" i="1"/>
  <c r="AR43" i="1"/>
  <c r="AR44" i="1"/>
  <c r="AR45" i="1"/>
  <c r="AR47" i="1"/>
  <c r="AR48" i="1"/>
  <c r="AR49" i="1"/>
  <c r="AR50" i="1"/>
  <c r="AR52" i="1"/>
  <c r="AR53" i="1"/>
  <c r="AR54" i="1"/>
  <c r="AR55" i="1"/>
  <c r="AR56" i="1"/>
  <c r="AR57" i="1"/>
  <c r="AR59" i="1"/>
  <c r="AR60" i="1"/>
  <c r="AR61" i="1"/>
  <c r="AR62" i="1"/>
  <c r="AR63" i="1"/>
  <c r="AR65" i="1"/>
  <c r="AR66" i="1"/>
  <c r="AR67" i="1"/>
  <c r="AR68" i="1"/>
  <c r="AR69" i="1"/>
  <c r="AR71" i="1"/>
  <c r="AR72" i="1"/>
  <c r="AR73" i="1"/>
  <c r="AR74" i="1"/>
  <c r="AR75" i="1"/>
  <c r="AR77" i="1"/>
  <c r="AR78" i="1"/>
  <c r="AR79" i="1"/>
  <c r="AR80" i="1"/>
  <c r="AR81" i="1"/>
  <c r="AR83" i="1"/>
  <c r="AR84" i="1"/>
  <c r="AR85" i="1"/>
  <c r="AR86" i="1"/>
  <c r="AR87" i="1"/>
  <c r="AR88" i="1"/>
  <c r="AR89" i="1"/>
  <c r="AR91" i="1"/>
  <c r="AR92" i="1"/>
  <c r="AR93" i="1"/>
  <c r="AR94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T25" i="1" s="1"/>
  <c r="AX25" i="1"/>
  <c r="AW26" i="1"/>
  <c r="AR26" i="1" s="1"/>
  <c r="AX26" i="1"/>
  <c r="AL26" i="1" s="1"/>
  <c r="AW29" i="1"/>
  <c r="AR29" i="1" s="1"/>
  <c r="AX29" i="1"/>
  <c r="X29" i="1" s="1"/>
  <c r="AW30" i="1"/>
  <c r="AP30" i="1" s="1"/>
  <c r="AX30" i="1"/>
  <c r="AW31" i="1"/>
  <c r="P31" i="1" s="1"/>
  <c r="AX31" i="1"/>
  <c r="AW34" i="1"/>
  <c r="AR34" i="1" s="1"/>
  <c r="AX34" i="1"/>
  <c r="AW35" i="1"/>
  <c r="AJ35" i="1" s="1"/>
  <c r="AX35" i="1"/>
  <c r="AF35" i="1" s="1"/>
  <c r="AW36" i="1"/>
  <c r="AX36" i="1"/>
  <c r="AW37" i="1"/>
  <c r="AX37" i="1"/>
  <c r="AW38" i="1"/>
  <c r="AX38" i="1"/>
  <c r="AW41" i="1"/>
  <c r="AX41" i="1"/>
  <c r="AW42" i="1"/>
  <c r="AX42" i="1"/>
  <c r="AW43" i="1"/>
  <c r="AX43" i="1"/>
  <c r="AW44" i="1"/>
  <c r="AX44" i="1"/>
  <c r="AW47" i="1"/>
  <c r="AX47" i="1"/>
  <c r="AW48" i="1"/>
  <c r="AX48" i="1"/>
  <c r="AW49" i="1"/>
  <c r="AX49" i="1"/>
  <c r="AW52" i="1"/>
  <c r="AX52" i="1"/>
  <c r="AW53" i="1"/>
  <c r="AX53" i="1"/>
  <c r="AW54" i="1"/>
  <c r="AX54" i="1"/>
  <c r="AW55" i="1"/>
  <c r="AX55" i="1"/>
  <c r="AW56" i="1"/>
  <c r="AX56" i="1"/>
  <c r="AW59" i="1"/>
  <c r="AX59" i="1"/>
  <c r="AW60" i="1"/>
  <c r="AX60" i="1"/>
  <c r="AW61" i="1"/>
  <c r="AX61" i="1"/>
  <c r="AW62" i="1"/>
  <c r="AX62" i="1"/>
  <c r="AW65" i="1"/>
  <c r="AX65" i="1"/>
  <c r="AW66" i="1"/>
  <c r="AX66" i="1"/>
  <c r="AW67" i="1"/>
  <c r="AX67" i="1"/>
  <c r="AW68" i="1"/>
  <c r="AX68" i="1"/>
  <c r="AW71" i="1"/>
  <c r="AX71" i="1"/>
  <c r="AW72" i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10" i="1"/>
  <c r="AX110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30" i="1"/>
  <c r="F31" i="1"/>
  <c r="F34" i="1"/>
  <c r="F35" i="1"/>
  <c r="F36" i="1"/>
  <c r="F37" i="1"/>
  <c r="F38" i="1"/>
  <c r="F41" i="1"/>
  <c r="F42" i="1"/>
  <c r="F43" i="1"/>
  <c r="F44" i="1"/>
  <c r="F47" i="1"/>
  <c r="F48" i="1"/>
  <c r="F49" i="1"/>
  <c r="F52" i="1"/>
  <c r="F53" i="1"/>
  <c r="F54" i="1"/>
  <c r="F55" i="1"/>
  <c r="F56" i="1"/>
  <c r="F59" i="1"/>
  <c r="F60" i="1"/>
  <c r="F61" i="1"/>
  <c r="F62" i="1"/>
  <c r="F65" i="1"/>
  <c r="F66" i="1"/>
  <c r="F67" i="1"/>
  <c r="F68" i="1"/>
  <c r="F71" i="1"/>
  <c r="F72" i="1"/>
  <c r="F73" i="1"/>
  <c r="F74" i="1"/>
  <c r="F77" i="1"/>
  <c r="F78" i="1"/>
  <c r="F79" i="1"/>
  <c r="F80" i="1"/>
  <c r="F83" i="1"/>
  <c r="F84" i="1"/>
  <c r="F85" i="1"/>
  <c r="F86" i="1"/>
  <c r="F87" i="1"/>
  <c r="F88" i="1"/>
  <c r="F91" i="1"/>
  <c r="F92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P94" i="1"/>
  <c r="AN94" i="1"/>
  <c r="AL94" i="1"/>
  <c r="AJ94" i="1"/>
  <c r="AH94" i="1"/>
  <c r="AF94" i="1"/>
  <c r="AD94" i="1"/>
  <c r="AB94" i="1"/>
  <c r="Z94" i="1"/>
  <c r="X94" i="1"/>
  <c r="V94" i="1"/>
  <c r="T94" i="1"/>
  <c r="R94" i="1"/>
  <c r="P94" i="1"/>
  <c r="N94" i="1"/>
  <c r="L94" i="1"/>
  <c r="J94" i="1"/>
  <c r="H94" i="1"/>
  <c r="AP93" i="1"/>
  <c r="AN93" i="1"/>
  <c r="AL93" i="1"/>
  <c r="AJ93" i="1"/>
  <c r="AH93" i="1"/>
  <c r="AF93" i="1"/>
  <c r="AD93" i="1"/>
  <c r="AB93" i="1"/>
  <c r="Z93" i="1"/>
  <c r="X93" i="1"/>
  <c r="V93" i="1"/>
  <c r="T93" i="1"/>
  <c r="R93" i="1"/>
  <c r="P93" i="1"/>
  <c r="N93" i="1"/>
  <c r="L93" i="1"/>
  <c r="J93" i="1"/>
  <c r="H93" i="1"/>
  <c r="AP92" i="1"/>
  <c r="AN92" i="1"/>
  <c r="AL92" i="1"/>
  <c r="AJ92" i="1"/>
  <c r="AH92" i="1"/>
  <c r="AF92" i="1"/>
  <c r="AD92" i="1"/>
  <c r="AB92" i="1"/>
  <c r="Z92" i="1"/>
  <c r="X92" i="1"/>
  <c r="V92" i="1"/>
  <c r="T92" i="1"/>
  <c r="R92" i="1"/>
  <c r="P92" i="1"/>
  <c r="N92" i="1"/>
  <c r="L92" i="1"/>
  <c r="J92" i="1"/>
  <c r="H92" i="1"/>
  <c r="AP91" i="1"/>
  <c r="AN91" i="1"/>
  <c r="AL91" i="1"/>
  <c r="AJ91" i="1"/>
  <c r="AH91" i="1"/>
  <c r="AF91" i="1"/>
  <c r="AD91" i="1"/>
  <c r="AB91" i="1"/>
  <c r="Z91" i="1"/>
  <c r="X91" i="1"/>
  <c r="V91" i="1"/>
  <c r="T91" i="1"/>
  <c r="R91" i="1"/>
  <c r="P91" i="1"/>
  <c r="N91" i="1"/>
  <c r="L91" i="1"/>
  <c r="J91" i="1"/>
  <c r="H91" i="1"/>
  <c r="AP88" i="1"/>
  <c r="AN88" i="1"/>
  <c r="AL88" i="1"/>
  <c r="AJ88" i="1"/>
  <c r="AH88" i="1"/>
  <c r="AF88" i="1"/>
  <c r="AD88" i="1"/>
  <c r="AB88" i="1"/>
  <c r="Z88" i="1"/>
  <c r="X88" i="1"/>
  <c r="V88" i="1"/>
  <c r="T88" i="1"/>
  <c r="R88" i="1"/>
  <c r="P88" i="1"/>
  <c r="N88" i="1"/>
  <c r="L88" i="1"/>
  <c r="J88" i="1"/>
  <c r="H88" i="1"/>
  <c r="AP87" i="1"/>
  <c r="AN87" i="1"/>
  <c r="AL87" i="1"/>
  <c r="AJ87" i="1"/>
  <c r="AH87" i="1"/>
  <c r="AF87" i="1"/>
  <c r="AD87" i="1"/>
  <c r="AB87" i="1"/>
  <c r="Z87" i="1"/>
  <c r="X87" i="1"/>
  <c r="V87" i="1"/>
  <c r="T87" i="1"/>
  <c r="R87" i="1"/>
  <c r="P87" i="1"/>
  <c r="N87" i="1"/>
  <c r="L87" i="1"/>
  <c r="J87" i="1"/>
  <c r="H87" i="1"/>
  <c r="AP86" i="1"/>
  <c r="AN86" i="1"/>
  <c r="AL86" i="1"/>
  <c r="AJ86" i="1"/>
  <c r="AH86" i="1"/>
  <c r="AF86" i="1"/>
  <c r="AD86" i="1"/>
  <c r="AB86" i="1"/>
  <c r="Z86" i="1"/>
  <c r="X86" i="1"/>
  <c r="V86" i="1"/>
  <c r="T86" i="1"/>
  <c r="R86" i="1"/>
  <c r="P86" i="1"/>
  <c r="N86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P84" i="1"/>
  <c r="AN84" i="1"/>
  <c r="AL84" i="1"/>
  <c r="AJ84" i="1"/>
  <c r="AH84" i="1"/>
  <c r="AF84" i="1"/>
  <c r="AD84" i="1"/>
  <c r="AB84" i="1"/>
  <c r="Z84" i="1"/>
  <c r="X84" i="1"/>
  <c r="V84" i="1"/>
  <c r="T84" i="1"/>
  <c r="R84" i="1"/>
  <c r="P84" i="1"/>
  <c r="N84" i="1"/>
  <c r="L84" i="1"/>
  <c r="J84" i="1"/>
  <c r="H84" i="1"/>
  <c r="AP83" i="1"/>
  <c r="AN83" i="1"/>
  <c r="AL83" i="1"/>
  <c r="AJ83" i="1"/>
  <c r="AH83" i="1"/>
  <c r="AF83" i="1"/>
  <c r="AD83" i="1"/>
  <c r="AB83" i="1"/>
  <c r="Z83" i="1"/>
  <c r="X83" i="1"/>
  <c r="V83" i="1"/>
  <c r="T83" i="1"/>
  <c r="R83" i="1"/>
  <c r="P83" i="1"/>
  <c r="N83" i="1"/>
  <c r="L83" i="1"/>
  <c r="J83" i="1"/>
  <c r="H83" i="1"/>
  <c r="AP80" i="1"/>
  <c r="AN80" i="1"/>
  <c r="AL80" i="1"/>
  <c r="AJ80" i="1"/>
  <c r="AH80" i="1"/>
  <c r="AF80" i="1"/>
  <c r="AD80" i="1"/>
  <c r="AB80" i="1"/>
  <c r="Z80" i="1"/>
  <c r="X80" i="1"/>
  <c r="V80" i="1"/>
  <c r="T80" i="1"/>
  <c r="R80" i="1"/>
  <c r="P80" i="1"/>
  <c r="N80" i="1"/>
  <c r="L80" i="1"/>
  <c r="J80" i="1"/>
  <c r="H80" i="1"/>
  <c r="AP79" i="1"/>
  <c r="AN79" i="1"/>
  <c r="AL79" i="1"/>
  <c r="AJ79" i="1"/>
  <c r="AH79" i="1"/>
  <c r="AF79" i="1"/>
  <c r="AD79" i="1"/>
  <c r="AB79" i="1"/>
  <c r="Z79" i="1"/>
  <c r="X79" i="1"/>
  <c r="V79" i="1"/>
  <c r="T79" i="1"/>
  <c r="R79" i="1"/>
  <c r="P79" i="1"/>
  <c r="N79" i="1"/>
  <c r="L79" i="1"/>
  <c r="J79" i="1"/>
  <c r="H79" i="1"/>
  <c r="AP78" i="1"/>
  <c r="AN78" i="1"/>
  <c r="AL78" i="1"/>
  <c r="AJ78" i="1"/>
  <c r="AH78" i="1"/>
  <c r="AF78" i="1"/>
  <c r="AD78" i="1"/>
  <c r="AB78" i="1"/>
  <c r="Z78" i="1"/>
  <c r="X78" i="1"/>
  <c r="V78" i="1"/>
  <c r="T78" i="1"/>
  <c r="R78" i="1"/>
  <c r="P78" i="1"/>
  <c r="N78" i="1"/>
  <c r="L78" i="1"/>
  <c r="J78" i="1"/>
  <c r="H78" i="1"/>
  <c r="AP77" i="1"/>
  <c r="AN77" i="1"/>
  <c r="AL77" i="1"/>
  <c r="AJ77" i="1"/>
  <c r="AH77" i="1"/>
  <c r="AF77" i="1"/>
  <c r="AD77" i="1"/>
  <c r="AB77" i="1"/>
  <c r="Z77" i="1"/>
  <c r="X77" i="1"/>
  <c r="V77" i="1"/>
  <c r="T77" i="1"/>
  <c r="R77" i="1"/>
  <c r="P77" i="1"/>
  <c r="N77" i="1"/>
  <c r="L77" i="1"/>
  <c r="J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J74" i="1"/>
  <c r="H74" i="1"/>
  <c r="AP73" i="1"/>
  <c r="AN73" i="1"/>
  <c r="AL73" i="1"/>
  <c r="AJ73" i="1"/>
  <c r="AH73" i="1"/>
  <c r="AF73" i="1"/>
  <c r="AD73" i="1"/>
  <c r="AB73" i="1"/>
  <c r="Z73" i="1"/>
  <c r="X73" i="1"/>
  <c r="V73" i="1"/>
  <c r="T73" i="1"/>
  <c r="R73" i="1"/>
  <c r="P73" i="1"/>
  <c r="N73" i="1"/>
  <c r="L73" i="1"/>
  <c r="J73" i="1"/>
  <c r="H73" i="1"/>
  <c r="AP72" i="1"/>
  <c r="AN72" i="1"/>
  <c r="AL72" i="1"/>
  <c r="AJ72" i="1"/>
  <c r="AH72" i="1"/>
  <c r="AF72" i="1"/>
  <c r="AD72" i="1"/>
  <c r="AB72" i="1"/>
  <c r="Z72" i="1"/>
  <c r="X72" i="1"/>
  <c r="V72" i="1"/>
  <c r="T72" i="1"/>
  <c r="R72" i="1"/>
  <c r="P72" i="1"/>
  <c r="N72" i="1"/>
  <c r="L72" i="1"/>
  <c r="J72" i="1"/>
  <c r="H72" i="1"/>
  <c r="AP71" i="1"/>
  <c r="AN71" i="1"/>
  <c r="AL71" i="1"/>
  <c r="AJ71" i="1"/>
  <c r="AH71" i="1"/>
  <c r="AF71" i="1"/>
  <c r="AD71" i="1"/>
  <c r="AB71" i="1"/>
  <c r="Z71" i="1"/>
  <c r="X71" i="1"/>
  <c r="V71" i="1"/>
  <c r="T71" i="1"/>
  <c r="R71" i="1"/>
  <c r="P71" i="1"/>
  <c r="N71" i="1"/>
  <c r="L71" i="1"/>
  <c r="J71" i="1"/>
  <c r="H71" i="1"/>
  <c r="AP68" i="1"/>
  <c r="AN68" i="1"/>
  <c r="AL68" i="1"/>
  <c r="AJ68" i="1"/>
  <c r="AH68" i="1"/>
  <c r="AF68" i="1"/>
  <c r="AD68" i="1"/>
  <c r="AB68" i="1"/>
  <c r="Z68" i="1"/>
  <c r="X68" i="1"/>
  <c r="V68" i="1"/>
  <c r="T68" i="1"/>
  <c r="R68" i="1"/>
  <c r="P68" i="1"/>
  <c r="N68" i="1"/>
  <c r="L68" i="1"/>
  <c r="J68" i="1"/>
  <c r="H68" i="1"/>
  <c r="AP67" i="1"/>
  <c r="AN67" i="1"/>
  <c r="AL67" i="1"/>
  <c r="AJ67" i="1"/>
  <c r="AH67" i="1"/>
  <c r="AF67" i="1"/>
  <c r="AD67" i="1"/>
  <c r="AB67" i="1"/>
  <c r="Z67" i="1"/>
  <c r="X67" i="1"/>
  <c r="V67" i="1"/>
  <c r="T67" i="1"/>
  <c r="R67" i="1"/>
  <c r="P67" i="1"/>
  <c r="N67" i="1"/>
  <c r="L67" i="1"/>
  <c r="J67" i="1"/>
  <c r="H67" i="1"/>
  <c r="AP66" i="1"/>
  <c r="AN66" i="1"/>
  <c r="AL66" i="1"/>
  <c r="AJ66" i="1"/>
  <c r="AH66" i="1"/>
  <c r="AF66" i="1"/>
  <c r="AD66" i="1"/>
  <c r="AB66" i="1"/>
  <c r="Z66" i="1"/>
  <c r="X66" i="1"/>
  <c r="V66" i="1"/>
  <c r="T66" i="1"/>
  <c r="R66" i="1"/>
  <c r="P66" i="1"/>
  <c r="N66" i="1"/>
  <c r="L66" i="1"/>
  <c r="J66" i="1"/>
  <c r="H66" i="1"/>
  <c r="AP65" i="1"/>
  <c r="AN65" i="1"/>
  <c r="AL65" i="1"/>
  <c r="AJ65" i="1"/>
  <c r="AH65" i="1"/>
  <c r="AF65" i="1"/>
  <c r="AD65" i="1"/>
  <c r="AB65" i="1"/>
  <c r="Z65" i="1"/>
  <c r="X65" i="1"/>
  <c r="V65" i="1"/>
  <c r="T65" i="1"/>
  <c r="R65" i="1"/>
  <c r="P65" i="1"/>
  <c r="N65" i="1"/>
  <c r="L65" i="1"/>
  <c r="J65" i="1"/>
  <c r="H65" i="1"/>
  <c r="AP62" i="1"/>
  <c r="AN62" i="1"/>
  <c r="AL62" i="1"/>
  <c r="AJ62" i="1"/>
  <c r="AH62" i="1"/>
  <c r="AF62" i="1"/>
  <c r="AD62" i="1"/>
  <c r="AB62" i="1"/>
  <c r="Z62" i="1"/>
  <c r="X62" i="1"/>
  <c r="V62" i="1"/>
  <c r="T62" i="1"/>
  <c r="R62" i="1"/>
  <c r="P62" i="1"/>
  <c r="N62" i="1"/>
  <c r="L62" i="1"/>
  <c r="J62" i="1"/>
  <c r="H62" i="1"/>
  <c r="AP61" i="1"/>
  <c r="AN61" i="1"/>
  <c r="AL61" i="1"/>
  <c r="AJ61" i="1"/>
  <c r="AH61" i="1"/>
  <c r="AF61" i="1"/>
  <c r="AD61" i="1"/>
  <c r="AB61" i="1"/>
  <c r="Z61" i="1"/>
  <c r="X61" i="1"/>
  <c r="V61" i="1"/>
  <c r="T61" i="1"/>
  <c r="R61" i="1"/>
  <c r="P61" i="1"/>
  <c r="N61" i="1"/>
  <c r="L61" i="1"/>
  <c r="J61" i="1"/>
  <c r="H61" i="1"/>
  <c r="AP60" i="1"/>
  <c r="AN60" i="1"/>
  <c r="AL60" i="1"/>
  <c r="AJ60" i="1"/>
  <c r="AH60" i="1"/>
  <c r="AF60" i="1"/>
  <c r="AD60" i="1"/>
  <c r="AB60" i="1"/>
  <c r="Z60" i="1"/>
  <c r="X60" i="1"/>
  <c r="V60" i="1"/>
  <c r="T60" i="1"/>
  <c r="R60" i="1"/>
  <c r="P60" i="1"/>
  <c r="N60" i="1"/>
  <c r="L60" i="1"/>
  <c r="J60" i="1"/>
  <c r="H60" i="1"/>
  <c r="AP59" i="1"/>
  <c r="AN59" i="1"/>
  <c r="AL59" i="1"/>
  <c r="AJ59" i="1"/>
  <c r="AH59" i="1"/>
  <c r="AF59" i="1"/>
  <c r="AD59" i="1"/>
  <c r="AB59" i="1"/>
  <c r="Z59" i="1"/>
  <c r="X59" i="1"/>
  <c r="V59" i="1"/>
  <c r="T59" i="1"/>
  <c r="R59" i="1"/>
  <c r="P59" i="1"/>
  <c r="N59" i="1"/>
  <c r="L59" i="1"/>
  <c r="J59" i="1"/>
  <c r="H59" i="1"/>
  <c r="AP56" i="1"/>
  <c r="AN56" i="1"/>
  <c r="AL56" i="1"/>
  <c r="AJ56" i="1"/>
  <c r="AH56" i="1"/>
  <c r="AF56" i="1"/>
  <c r="AD56" i="1"/>
  <c r="AB56" i="1"/>
  <c r="Z56" i="1"/>
  <c r="X56" i="1"/>
  <c r="V56" i="1"/>
  <c r="T56" i="1"/>
  <c r="R56" i="1"/>
  <c r="P56" i="1"/>
  <c r="N56" i="1"/>
  <c r="L56" i="1"/>
  <c r="J56" i="1"/>
  <c r="H56" i="1"/>
  <c r="AP55" i="1"/>
  <c r="AN55" i="1"/>
  <c r="AL55" i="1"/>
  <c r="AJ55" i="1"/>
  <c r="AH55" i="1"/>
  <c r="AF55" i="1"/>
  <c r="AD55" i="1"/>
  <c r="AB55" i="1"/>
  <c r="Z55" i="1"/>
  <c r="X55" i="1"/>
  <c r="V55" i="1"/>
  <c r="T55" i="1"/>
  <c r="R55" i="1"/>
  <c r="P55" i="1"/>
  <c r="N55" i="1"/>
  <c r="L55" i="1"/>
  <c r="J55" i="1"/>
  <c r="H55" i="1"/>
  <c r="AP54" i="1"/>
  <c r="AN54" i="1"/>
  <c r="AL54" i="1"/>
  <c r="AJ54" i="1"/>
  <c r="AH54" i="1"/>
  <c r="AF54" i="1"/>
  <c r="AD54" i="1"/>
  <c r="AB54" i="1"/>
  <c r="Z54" i="1"/>
  <c r="X54" i="1"/>
  <c r="V54" i="1"/>
  <c r="T54" i="1"/>
  <c r="R54" i="1"/>
  <c r="P54" i="1"/>
  <c r="N54" i="1"/>
  <c r="L54" i="1"/>
  <c r="J54" i="1"/>
  <c r="H54" i="1"/>
  <c r="AP53" i="1"/>
  <c r="AN53" i="1"/>
  <c r="AL53" i="1"/>
  <c r="AJ53" i="1"/>
  <c r="AH53" i="1"/>
  <c r="AF53" i="1"/>
  <c r="AD53" i="1"/>
  <c r="AB53" i="1"/>
  <c r="Z53" i="1"/>
  <c r="X53" i="1"/>
  <c r="V53" i="1"/>
  <c r="T53" i="1"/>
  <c r="R53" i="1"/>
  <c r="P53" i="1"/>
  <c r="N53" i="1"/>
  <c r="L53" i="1"/>
  <c r="J53" i="1"/>
  <c r="H53" i="1"/>
  <c r="AP52" i="1"/>
  <c r="AN52" i="1"/>
  <c r="AL52" i="1"/>
  <c r="AJ52" i="1"/>
  <c r="AH52" i="1"/>
  <c r="AF52" i="1"/>
  <c r="AD52" i="1"/>
  <c r="AB52" i="1"/>
  <c r="Z52" i="1"/>
  <c r="X52" i="1"/>
  <c r="V52" i="1"/>
  <c r="T52" i="1"/>
  <c r="R52" i="1"/>
  <c r="P52" i="1"/>
  <c r="N52" i="1"/>
  <c r="L52" i="1"/>
  <c r="J52" i="1"/>
  <c r="H52" i="1"/>
  <c r="AP49" i="1"/>
  <c r="AN49" i="1"/>
  <c r="AL49" i="1"/>
  <c r="AJ49" i="1"/>
  <c r="AH49" i="1"/>
  <c r="AF49" i="1"/>
  <c r="AD49" i="1"/>
  <c r="AB49" i="1"/>
  <c r="Z49" i="1"/>
  <c r="X49" i="1"/>
  <c r="V49" i="1"/>
  <c r="T49" i="1"/>
  <c r="R49" i="1"/>
  <c r="P49" i="1"/>
  <c r="N49" i="1"/>
  <c r="L49" i="1"/>
  <c r="J49" i="1"/>
  <c r="H49" i="1"/>
  <c r="AP48" i="1"/>
  <c r="AN48" i="1"/>
  <c r="AL48" i="1"/>
  <c r="AJ48" i="1"/>
  <c r="AH48" i="1"/>
  <c r="AF48" i="1"/>
  <c r="AD48" i="1"/>
  <c r="AB48" i="1"/>
  <c r="Z48" i="1"/>
  <c r="X48" i="1"/>
  <c r="V48" i="1"/>
  <c r="T48" i="1"/>
  <c r="R48" i="1"/>
  <c r="P48" i="1"/>
  <c r="N48" i="1"/>
  <c r="L48" i="1"/>
  <c r="J48" i="1"/>
  <c r="H48" i="1"/>
  <c r="AP47" i="1"/>
  <c r="AN47" i="1"/>
  <c r="AL47" i="1"/>
  <c r="AJ47" i="1"/>
  <c r="AH47" i="1"/>
  <c r="AF47" i="1"/>
  <c r="AD47" i="1"/>
  <c r="AB47" i="1"/>
  <c r="Z47" i="1"/>
  <c r="X47" i="1"/>
  <c r="V47" i="1"/>
  <c r="T47" i="1"/>
  <c r="R47" i="1"/>
  <c r="P47" i="1"/>
  <c r="N47" i="1"/>
  <c r="L47" i="1"/>
  <c r="J47" i="1"/>
  <c r="H47" i="1"/>
  <c r="AP44" i="1"/>
  <c r="AN44" i="1"/>
  <c r="AL44" i="1"/>
  <c r="AJ44" i="1"/>
  <c r="AH44" i="1"/>
  <c r="AF44" i="1"/>
  <c r="AD44" i="1"/>
  <c r="AB44" i="1"/>
  <c r="Z44" i="1"/>
  <c r="X44" i="1"/>
  <c r="V44" i="1"/>
  <c r="T44" i="1"/>
  <c r="R44" i="1"/>
  <c r="P44" i="1"/>
  <c r="N44" i="1"/>
  <c r="L44" i="1"/>
  <c r="J44" i="1"/>
  <c r="H44" i="1"/>
  <c r="AP43" i="1"/>
  <c r="AN43" i="1"/>
  <c r="AL43" i="1"/>
  <c r="AJ43" i="1"/>
  <c r="AH43" i="1"/>
  <c r="AF43" i="1"/>
  <c r="AD43" i="1"/>
  <c r="AB43" i="1"/>
  <c r="Z43" i="1"/>
  <c r="X43" i="1"/>
  <c r="V43" i="1"/>
  <c r="T43" i="1"/>
  <c r="R43" i="1"/>
  <c r="P43" i="1"/>
  <c r="N43" i="1"/>
  <c r="L43" i="1"/>
  <c r="J43" i="1"/>
  <c r="H43" i="1"/>
  <c r="AP42" i="1"/>
  <c r="AN42" i="1"/>
  <c r="AL42" i="1"/>
  <c r="AJ42" i="1"/>
  <c r="AH42" i="1"/>
  <c r="AF42" i="1"/>
  <c r="AD42" i="1"/>
  <c r="AB42" i="1"/>
  <c r="Z42" i="1"/>
  <c r="X42" i="1"/>
  <c r="V42" i="1"/>
  <c r="T42" i="1"/>
  <c r="R42" i="1"/>
  <c r="P42" i="1"/>
  <c r="N42" i="1"/>
  <c r="L42" i="1"/>
  <c r="J42" i="1"/>
  <c r="H42" i="1"/>
  <c r="AP41" i="1"/>
  <c r="AN41" i="1"/>
  <c r="AL41" i="1"/>
  <c r="AJ41" i="1"/>
  <c r="AH41" i="1"/>
  <c r="AF41" i="1"/>
  <c r="AD41" i="1"/>
  <c r="AB41" i="1"/>
  <c r="Z41" i="1"/>
  <c r="X41" i="1"/>
  <c r="V41" i="1"/>
  <c r="T41" i="1"/>
  <c r="R41" i="1"/>
  <c r="P41" i="1"/>
  <c r="N41" i="1"/>
  <c r="L41" i="1"/>
  <c r="J41" i="1"/>
  <c r="H41" i="1"/>
  <c r="AP38" i="1"/>
  <c r="AN38" i="1"/>
  <c r="AL38" i="1"/>
  <c r="AJ38" i="1"/>
  <c r="AH38" i="1"/>
  <c r="AF38" i="1"/>
  <c r="AD38" i="1"/>
  <c r="AB38" i="1"/>
  <c r="Z38" i="1"/>
  <c r="X38" i="1"/>
  <c r="V38" i="1"/>
  <c r="T38" i="1"/>
  <c r="R38" i="1"/>
  <c r="P38" i="1"/>
  <c r="N38" i="1"/>
  <c r="L38" i="1"/>
  <c r="J38" i="1"/>
  <c r="H38" i="1"/>
  <c r="AP37" i="1"/>
  <c r="AN37" i="1"/>
  <c r="AL37" i="1"/>
  <c r="AJ37" i="1"/>
  <c r="AH37" i="1"/>
  <c r="AF37" i="1"/>
  <c r="AD37" i="1"/>
  <c r="AB37" i="1"/>
  <c r="Z37" i="1"/>
  <c r="X37" i="1"/>
  <c r="V37" i="1"/>
  <c r="T37" i="1"/>
  <c r="R37" i="1"/>
  <c r="P37" i="1"/>
  <c r="N37" i="1"/>
  <c r="L37" i="1"/>
  <c r="J37" i="1"/>
  <c r="H37" i="1"/>
  <c r="AP36" i="1"/>
  <c r="AN36" i="1"/>
  <c r="AL36" i="1"/>
  <c r="AJ36" i="1"/>
  <c r="AH36" i="1"/>
  <c r="AF36" i="1"/>
  <c r="AD36" i="1"/>
  <c r="AB36" i="1"/>
  <c r="Z36" i="1"/>
  <c r="X36" i="1"/>
  <c r="V36" i="1"/>
  <c r="T36" i="1"/>
  <c r="R36" i="1"/>
  <c r="P36" i="1"/>
  <c r="N36" i="1"/>
  <c r="L36" i="1"/>
  <c r="J36" i="1"/>
  <c r="H36" i="1"/>
  <c r="AP35" i="1"/>
  <c r="AN35" i="1"/>
  <c r="AL35" i="1"/>
  <c r="V35" i="1"/>
  <c r="AP34" i="1"/>
  <c r="AN34" i="1"/>
  <c r="AL34" i="1"/>
  <c r="AJ34" i="1"/>
  <c r="AH34" i="1"/>
  <c r="AF34" i="1"/>
  <c r="AD34" i="1"/>
  <c r="Z34" i="1"/>
  <c r="X34" i="1"/>
  <c r="V34" i="1"/>
  <c r="T34" i="1"/>
  <c r="N34" i="1"/>
  <c r="J34" i="1"/>
  <c r="H34" i="1"/>
  <c r="AN31" i="1"/>
  <c r="AJ31" i="1"/>
  <c r="AH31" i="1"/>
  <c r="AD31" i="1"/>
  <c r="AB31" i="1"/>
  <c r="Z31" i="1"/>
  <c r="X31" i="1"/>
  <c r="V31" i="1"/>
  <c r="T31" i="1"/>
  <c r="R31" i="1"/>
  <c r="N31" i="1"/>
  <c r="L31" i="1"/>
  <c r="J31" i="1"/>
  <c r="H31" i="1"/>
  <c r="AH30" i="1"/>
  <c r="AD30" i="1"/>
  <c r="Z30" i="1"/>
  <c r="X30" i="1"/>
  <c r="V30" i="1"/>
  <c r="T30" i="1"/>
  <c r="R30" i="1"/>
  <c r="P30" i="1"/>
  <c r="N30" i="1"/>
  <c r="L30" i="1"/>
  <c r="J30" i="1"/>
  <c r="H30" i="1"/>
  <c r="V29" i="1"/>
  <c r="T29" i="1"/>
  <c r="R29" i="1"/>
  <c r="P29" i="1"/>
  <c r="N29" i="1"/>
  <c r="L29" i="1"/>
  <c r="J29" i="1"/>
  <c r="H29" i="1"/>
  <c r="AF26" i="1"/>
  <c r="V26" i="1"/>
  <c r="P26" i="1"/>
  <c r="N26" i="1"/>
  <c r="L26" i="1"/>
  <c r="J26" i="1"/>
  <c r="H26" i="1"/>
  <c r="AN25" i="1"/>
  <c r="AL25" i="1"/>
  <c r="AH25" i="1"/>
  <c r="AF25" i="1"/>
  <c r="Z25" i="1"/>
  <c r="N25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H35" i="1" l="1"/>
  <c r="J35" i="1"/>
  <c r="L35" i="1"/>
  <c r="N35" i="1"/>
  <c r="AV35" i="1"/>
  <c r="P35" i="1"/>
  <c r="R35" i="1"/>
  <c r="AT35" i="1"/>
  <c r="T35" i="1"/>
  <c r="Z35" i="1"/>
  <c r="X35" i="1"/>
  <c r="AB35" i="1"/>
  <c r="AD35" i="1"/>
  <c r="AH35" i="1"/>
  <c r="AT34" i="1"/>
  <c r="L34" i="1"/>
  <c r="P34" i="1"/>
  <c r="R34" i="1"/>
  <c r="AB34" i="1"/>
  <c r="AF31" i="1"/>
  <c r="AL31" i="1"/>
  <c r="AP31" i="1"/>
  <c r="AB30" i="1"/>
  <c r="AF30" i="1"/>
  <c r="AJ30" i="1"/>
  <c r="AL30" i="1"/>
  <c r="AN30" i="1"/>
  <c r="AT30" i="1"/>
  <c r="AF29" i="1"/>
  <c r="AH29" i="1"/>
  <c r="AV29" i="1"/>
  <c r="AD29" i="1"/>
  <c r="AJ29" i="1"/>
  <c r="AT29" i="1"/>
  <c r="Z29" i="1"/>
  <c r="AL29" i="1"/>
  <c r="AN29" i="1"/>
  <c r="AP29" i="1"/>
  <c r="AB29" i="1"/>
  <c r="F29" i="1"/>
  <c r="R26" i="1"/>
  <c r="T26" i="1"/>
  <c r="X26" i="1"/>
  <c r="Z26" i="1"/>
  <c r="AV26" i="1"/>
  <c r="AB26" i="1"/>
  <c r="AD26" i="1"/>
  <c r="AJ26" i="1"/>
  <c r="AH26" i="1"/>
  <c r="AN26" i="1"/>
  <c r="AP26" i="1"/>
  <c r="F26" i="1"/>
  <c r="AR25" i="1"/>
  <c r="AP25" i="1"/>
  <c r="H25" i="1"/>
  <c r="J25" i="1"/>
  <c r="AV25" i="1"/>
  <c r="R25" i="1"/>
  <c r="T25" i="1"/>
  <c r="P25" i="1"/>
  <c r="V25" i="1"/>
  <c r="AJ25" i="1"/>
  <c r="L25" i="1"/>
  <c r="X25" i="1"/>
  <c r="AB25" i="1"/>
  <c r="AD25" i="1"/>
  <c r="F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4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17" i="3" s="1"/>
  <c r="AK17" i="2"/>
  <c r="D9" i="3" s="1"/>
  <c r="AM17" i="2"/>
  <c r="D22" i="3" s="1"/>
  <c r="AI17" i="2"/>
  <c r="D21" i="3" s="1"/>
  <c r="AO17" i="2"/>
  <c r="D19" i="3" s="1"/>
  <c r="AA17" i="2"/>
  <c r="D4" i="3" s="1"/>
  <c r="AC17" i="2"/>
  <c r="D23" i="3" s="1"/>
  <c r="AE17" i="2"/>
  <c r="D5" i="3" s="1"/>
  <c r="AG17" i="2"/>
  <c r="D13" i="3" s="1"/>
  <c r="E17" i="2"/>
  <c r="D16" i="3" s="1"/>
  <c r="I17" i="2"/>
  <c r="D6" i="3" s="1"/>
  <c r="K17" i="2"/>
  <c r="D24" i="3" s="1"/>
  <c r="M17" i="2"/>
  <c r="D7" i="3" s="1"/>
  <c r="G17" i="2"/>
  <c r="D8" i="3" s="1"/>
  <c r="O17" i="2"/>
  <c r="D3" i="3" s="1"/>
  <c r="S17" i="2"/>
  <c r="D11" i="3" s="1"/>
  <c r="U17" i="2"/>
  <c r="D10" i="3" s="1"/>
  <c r="W17" i="2"/>
  <c r="D20" i="3" s="1"/>
  <c r="Y17" i="2"/>
  <c r="D12" i="3" s="1"/>
  <c r="C14" i="3" l="1"/>
  <c r="E14" i="3" s="1"/>
  <c r="C15" i="3"/>
  <c r="E15" i="3" s="1"/>
  <c r="C17" i="3"/>
  <c r="E17" i="3" s="1"/>
  <c r="C18" i="3"/>
  <c r="E18" i="3" s="1"/>
  <c r="C19" i="3"/>
  <c r="E19" i="3" s="1"/>
  <c r="C23" i="3"/>
  <c r="E23" i="3" s="1"/>
  <c r="C11" i="3"/>
  <c r="E11" i="3" s="1"/>
  <c r="C5" i="3"/>
  <c r="E5" i="3" s="1"/>
  <c r="C3" i="3"/>
  <c r="E3" i="3" s="1"/>
  <c r="C7" i="3"/>
  <c r="E7" i="3" s="1"/>
  <c r="C21" i="3"/>
  <c r="E21" i="3" s="1"/>
  <c r="C16" i="3"/>
  <c r="E16" i="3" s="1"/>
  <c r="C20" i="3"/>
  <c r="E20" i="3" s="1"/>
  <c r="C24" i="3"/>
  <c r="E24" i="3" s="1"/>
  <c r="C9" i="3"/>
  <c r="E9" i="3" s="1"/>
  <c r="C4" i="3"/>
  <c r="E4" i="3" s="1"/>
  <c r="C8" i="3"/>
  <c r="E8" i="3" s="1"/>
  <c r="C12" i="3"/>
  <c r="E12" i="3" s="1"/>
  <c r="C6" i="3"/>
  <c r="E6" i="3" s="1"/>
  <c r="C22" i="3"/>
  <c r="E22" i="3" s="1"/>
  <c r="C10" i="3"/>
  <c r="E10" i="3" s="1"/>
  <c r="C13" i="3"/>
  <c r="E13" i="3" s="1"/>
  <c r="A18" i="3" l="1"/>
  <c r="A22" i="3"/>
  <c r="A6" i="3"/>
  <c r="A15" i="3"/>
  <c r="A13" i="3"/>
  <c r="A16" i="3"/>
  <c r="A12" i="3"/>
  <c r="A24" i="3"/>
  <c r="A3" i="3"/>
  <c r="A19" i="3"/>
  <c r="A21" i="3"/>
  <c r="A10" i="3"/>
  <c r="A7" i="3"/>
  <c r="A8" i="3"/>
  <c r="A17" i="3"/>
  <c r="A11" i="3"/>
  <c r="A20" i="3"/>
  <c r="A9" i="3"/>
  <c r="A5" i="3"/>
  <c r="A23" i="3"/>
  <c r="A4" i="3"/>
  <c r="A14" i="3"/>
</calcChain>
</file>

<file path=xl/sharedStrings.xml><?xml version="1.0" encoding="utf-8"?>
<sst xmlns="http://schemas.openxmlformats.org/spreadsheetml/2006/main" count="2323" uniqueCount="330">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</sst>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workbookViewId="0">
      <pane xSplit="4" ySplit="2" topLeftCell="Q12" activePane="bottomRight" state="frozen"/>
      <selection pane="topRight"/>
      <selection pane="bottomLeft"/>
      <selection pane="bottomRight" activeCell="C36" sqref="C36"/>
    </sheetView>
  </sheetViews>
  <sheetFormatPr defaultRowHeight="15" x14ac:dyDescent="0.25"/>
  <cols>
    <col min="1" max="1" width="10.5703125" customWidth="1"/>
    <col min="2" max="2" width="20.5703125" style="19" customWidth="1"/>
    <col min="3" max="3" width="10.5703125" customWidth="1"/>
    <col min="4" max="4" width="20.5703125" style="20" customWidth="1"/>
    <col min="5" max="5" width="12.5703125" style="23" customWidth="1"/>
    <col min="6" max="6" width="8.5703125" customWidth="1"/>
    <col min="7" max="7" width="12.5703125" style="23" customWidth="1"/>
    <col min="8" max="8" width="8.5703125" customWidth="1"/>
    <col min="9" max="9" width="12.5703125" style="23" customWidth="1"/>
    <col min="10" max="10" width="8.5703125" customWidth="1"/>
    <col min="11" max="11" width="12.5703125" style="23" customWidth="1"/>
    <col min="12" max="12" width="8.5703125" customWidth="1"/>
    <col min="13" max="13" width="12.5703125" style="23" customWidth="1"/>
    <col min="14" max="14" width="8.5703125" customWidth="1"/>
    <col min="15" max="15" width="12.5703125" style="23" customWidth="1"/>
    <col min="16" max="16" width="8.5703125" customWidth="1"/>
    <col min="17" max="17" width="12.5703125" style="23" customWidth="1"/>
    <col min="18" max="18" width="8.5703125" customWidth="1"/>
    <col min="19" max="19" width="12.5703125" style="23" customWidth="1"/>
    <col min="20" max="20" width="8.5703125" customWidth="1"/>
    <col min="21" max="21" width="12.5703125" customWidth="1"/>
    <col min="22" max="22" width="8.5703125" customWidth="1"/>
    <col min="23" max="23" width="12.5703125" style="23" customWidth="1"/>
    <col min="24" max="24" width="8.5703125" customWidth="1"/>
    <col min="25" max="25" width="12.5703125" style="23" customWidth="1"/>
    <col min="26" max="26" width="8.5703125" customWidth="1"/>
    <col min="27" max="27" width="12.5703125" style="23" customWidth="1"/>
    <col min="28" max="28" width="8.5703125" customWidth="1"/>
    <col min="29" max="29" width="12.5703125" style="23" customWidth="1"/>
    <col min="30" max="30" width="8.5703125" customWidth="1"/>
    <col min="31" max="31" width="12.5703125" style="23" customWidth="1"/>
    <col min="32" max="32" width="8.5703125" customWidth="1"/>
    <col min="33" max="33" width="12.5703125" style="23" customWidth="1"/>
    <col min="34" max="34" width="8.5703125" customWidth="1"/>
    <col min="35" max="35" width="12.5703125" style="23" customWidth="1"/>
    <col min="36" max="36" width="8.5703125" customWidth="1"/>
    <col min="37" max="37" width="12.5703125" style="23" customWidth="1"/>
    <col min="38" max="38" width="8.5703125" customWidth="1"/>
    <col min="39" max="39" width="12.5703125" style="23" customWidth="1"/>
    <col min="40" max="40" width="8.5703125" customWidth="1"/>
    <col min="41" max="41" width="15.5703125" style="23" customWidth="1"/>
    <col min="42" max="42" width="8.5703125" customWidth="1"/>
    <col min="43" max="43" width="15.5703125" style="23" customWidth="1"/>
    <col min="44" max="44" width="8.5703125" customWidth="1"/>
    <col min="45" max="45" width="15.7109375" style="23" customWidth="1"/>
    <col min="46" max="46" width="8.5703125" customWidth="1"/>
    <col min="47" max="47" width="15.5703125" style="23" customWidth="1"/>
    <col min="48" max="48" width="8.5703125" customWidth="1"/>
    <col min="49" max="50" width="13" hidden="1" customWidth="1"/>
  </cols>
  <sheetData>
    <row r="1" spans="1:50" x14ac:dyDescent="0.25">
      <c r="A1" s="40" t="s">
        <v>0</v>
      </c>
      <c r="B1" s="40" t="s">
        <v>1</v>
      </c>
      <c r="C1" s="40" t="s">
        <v>2</v>
      </c>
      <c r="D1" s="40" t="s">
        <v>3</v>
      </c>
      <c r="E1" s="37" t="s">
        <v>4</v>
      </c>
      <c r="F1" s="39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324</v>
      </c>
      <c r="AT1" s="39"/>
      <c r="AU1" s="37" t="s">
        <v>24</v>
      </c>
      <c r="AV1" s="39"/>
      <c r="AW1" s="2" t="s">
        <v>25</v>
      </c>
      <c r="AX1" s="2" t="s">
        <v>26</v>
      </c>
    </row>
    <row r="2" spans="1:50" x14ac:dyDescent="0.25">
      <c r="A2" s="41"/>
      <c r="B2" s="42"/>
      <c r="C2" s="41"/>
      <c r="D2" s="42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25">
      <c r="A3" s="38" t="s">
        <v>29</v>
      </c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  <c r="AP3" s="43"/>
      <c r="AQ3" s="43"/>
      <c r="AR3" s="43"/>
      <c r="AS3" s="43"/>
      <c r="AT3" s="43"/>
      <c r="AU3" s="43"/>
      <c r="AV3" s="44"/>
      <c r="AW3" s="7"/>
      <c r="AX3" s="7"/>
    </row>
    <row r="4" spans="1:50" ht="20.100000000000001" customHeight="1" x14ac:dyDescent="0.25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4"/>
      <c r="AT4" s="34"/>
      <c r="AU4" s="35"/>
      <c r="AV4" s="36"/>
      <c r="AW4" s="8"/>
      <c r="AX4" s="8"/>
    </row>
    <row r="5" spans="1:50" ht="18" customHeight="1" x14ac:dyDescent="0.2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2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00000000000001" customHeight="1" x14ac:dyDescent="0.25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4"/>
      <c r="AT7" s="34"/>
      <c r="AU7" s="35"/>
      <c r="AV7" s="36"/>
      <c r="AW7" s="8"/>
      <c r="AX7" s="8"/>
    </row>
    <row r="8" spans="1:50" ht="18" customHeight="1" x14ac:dyDescent="0.25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25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2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00000000000001" customHeight="1" x14ac:dyDescent="0.25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4"/>
      <c r="AT11" s="34"/>
      <c r="AU11" s="35"/>
      <c r="AV11" s="36"/>
      <c r="AW11" s="8"/>
      <c r="AX11" s="8"/>
    </row>
    <row r="12" spans="1:50" ht="18" customHeight="1" x14ac:dyDescent="0.25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25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2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00000000000001" customHeight="1" x14ac:dyDescent="0.25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4"/>
      <c r="AT15" s="34"/>
      <c r="AU15" s="35"/>
      <c r="AV15" s="36"/>
      <c r="AW15" s="8"/>
      <c r="AX15" s="8"/>
    </row>
    <row r="16" spans="1:50" ht="18" customHeight="1" x14ac:dyDescent="0.25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25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25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25">
      <c r="A19" s="9">
        <v>1.791666666666667</v>
      </c>
      <c r="B19" s="18" t="s">
        <v>69</v>
      </c>
      <c r="C19" s="10" t="s">
        <v>329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25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2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00000000000001" customHeight="1" x14ac:dyDescent="0.25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4"/>
      <c r="AT22" s="34"/>
      <c r="AU22" s="35"/>
      <c r="AV22" s="36"/>
      <c r="AW22" s="8"/>
      <c r="AX22" s="8"/>
    </row>
    <row r="23" spans="1:50" ht="18" customHeight="1" x14ac:dyDescent="0.25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25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25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25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2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00000000000001" customHeight="1" x14ac:dyDescent="0.25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4"/>
      <c r="AT28" s="34"/>
      <c r="AU28" s="35"/>
      <c r="AV28" s="36"/>
      <c r="AW28" s="8"/>
      <c r="AX28" s="8"/>
    </row>
    <row r="29" spans="1:50" ht="18" customHeight="1" x14ac:dyDescent="0.25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25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25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2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00000000000001" customHeight="1" x14ac:dyDescent="0.25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4"/>
      <c r="AT33" s="34"/>
      <c r="AU33" s="35"/>
      <c r="AV33" s="36"/>
      <c r="AW33" s="8"/>
      <c r="AX33" s="8"/>
    </row>
    <row r="34" spans="1:50" ht="18" customHeight="1" x14ac:dyDescent="0.25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25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25">
      <c r="A36" s="9">
        <v>1.25</v>
      </c>
      <c r="B36" s="18" t="s">
        <v>97</v>
      </c>
      <c r="C36" s="10"/>
      <c r="D36" s="1" t="s">
        <v>98</v>
      </c>
      <c r="E36" s="10" t="s">
        <v>36</v>
      </c>
      <c r="F36" s="11" t="str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/>
      </c>
      <c r="G36" s="10" t="s">
        <v>33</v>
      </c>
      <c r="H36" s="11" t="str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/>
      </c>
      <c r="I36" s="10" t="s">
        <v>37</v>
      </c>
      <c r="J36" s="11" t="str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/>
      </c>
      <c r="K36" s="10" t="s">
        <v>35</v>
      </c>
      <c r="L36" s="11" t="str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/>
      </c>
      <c r="M36" s="10" t="s">
        <v>35</v>
      </c>
      <c r="N36" s="11" t="str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/>
      </c>
      <c r="O36" s="10" t="s">
        <v>36</v>
      </c>
      <c r="P36" s="11" t="str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/>
      </c>
      <c r="Q36" s="10" t="s">
        <v>36</v>
      </c>
      <c r="R36" s="11" t="str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/>
      </c>
      <c r="S36" s="10" t="s">
        <v>49</v>
      </c>
      <c r="T36" s="11" t="str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/>
      </c>
      <c r="U36" s="10" t="s">
        <v>36</v>
      </c>
      <c r="V36" s="11" t="str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/>
      </c>
      <c r="W36" s="10" t="s">
        <v>36</v>
      </c>
      <c r="X36" s="11" t="str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/>
      </c>
      <c r="Y36" s="10" t="s">
        <v>36</v>
      </c>
      <c r="Z36" s="11" t="str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/>
      </c>
      <c r="AA36" s="10" t="s">
        <v>36</v>
      </c>
      <c r="AB36" s="11" t="str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/>
      </c>
      <c r="AC36" s="10" t="s">
        <v>61</v>
      </c>
      <c r="AD36" s="11" t="str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/>
      </c>
      <c r="AE36" s="10" t="s">
        <v>36</v>
      </c>
      <c r="AF36" s="11" t="str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/>
      </c>
      <c r="AG36" s="10" t="s">
        <v>39</v>
      </c>
      <c r="AH36" s="11" t="str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/>
      </c>
      <c r="AI36" s="10" t="s">
        <v>38</v>
      </c>
      <c r="AJ36" s="11" t="str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/>
      </c>
      <c r="AK36" s="10" t="s">
        <v>36</v>
      </c>
      <c r="AL36" s="11" t="str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/>
      </c>
      <c r="AM36" s="10" t="s">
        <v>35</v>
      </c>
      <c r="AN36" s="11" t="str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/>
      </c>
      <c r="AO36" s="10" t="s">
        <v>36</v>
      </c>
      <c r="AP36" s="11" t="str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/>
      </c>
      <c r="AQ36" s="10" t="s">
        <v>37</v>
      </c>
      <c r="AR36" s="11" t="str">
        <f t="shared" si="2"/>
        <v/>
      </c>
      <c r="AS36" s="10" t="s">
        <v>39</v>
      </c>
      <c r="AT36" s="11" t="str">
        <f t="shared" si="3"/>
        <v/>
      </c>
      <c r="AU36" s="10" t="s">
        <v>38</v>
      </c>
      <c r="AV36" s="11" t="str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/>
      </c>
      <c r="AW36" s="11" t="str">
        <f>IF($C36="","",IFERROR(--LEFT($C36,FIND("-",$C36)-1),""))</f>
        <v/>
      </c>
      <c r="AX36" s="11" t="str">
        <f>IF($C36="","",IFERROR(--MID($C36,FIND("-",$C36)+1,99),""))</f>
        <v/>
      </c>
    </row>
    <row r="37" spans="1:50" ht="18" customHeight="1" x14ac:dyDescent="0.25">
      <c r="A37" s="9">
        <v>1.791666666666667</v>
      </c>
      <c r="B37" s="18" t="s">
        <v>99</v>
      </c>
      <c r="C37" s="10"/>
      <c r="D37" s="1" t="s">
        <v>100</v>
      </c>
      <c r="E37" s="10" t="s">
        <v>38</v>
      </c>
      <c r="F37" s="11" t="str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/>
      </c>
      <c r="G37" s="10" t="s">
        <v>62</v>
      </c>
      <c r="H37" s="11" t="str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/>
      </c>
      <c r="I37" s="10" t="s">
        <v>38</v>
      </c>
      <c r="J37" s="11" t="str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/>
      </c>
      <c r="K37" s="10" t="s">
        <v>34</v>
      </c>
      <c r="L37" s="11" t="str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/>
      </c>
      <c r="M37" s="10" t="s">
        <v>38</v>
      </c>
      <c r="N37" s="11" t="str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/>
      </c>
      <c r="O37" s="10" t="s">
        <v>63</v>
      </c>
      <c r="P37" s="11" t="str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/>
      </c>
      <c r="Q37" s="10" t="s">
        <v>38</v>
      </c>
      <c r="R37" s="11" t="str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/>
      </c>
      <c r="S37" s="10" t="s">
        <v>43</v>
      </c>
      <c r="T37" s="11" t="str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/>
      </c>
      <c r="U37" s="10" t="s">
        <v>36</v>
      </c>
      <c r="V37" s="11" t="str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/>
      </c>
      <c r="W37" s="10" t="s">
        <v>36</v>
      </c>
      <c r="X37" s="11" t="str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/>
      </c>
      <c r="Y37" s="10" t="s">
        <v>36</v>
      </c>
      <c r="Z37" s="11" t="str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/>
      </c>
      <c r="AA37" s="10" t="s">
        <v>72</v>
      </c>
      <c r="AB37" s="11" t="str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/>
      </c>
      <c r="AC37" s="10" t="s">
        <v>36</v>
      </c>
      <c r="AD37" s="11" t="str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/>
      </c>
      <c r="AE37" s="10" t="s">
        <v>34</v>
      </c>
      <c r="AF37" s="11" t="str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/>
      </c>
      <c r="AG37" s="10" t="s">
        <v>34</v>
      </c>
      <c r="AH37" s="11" t="str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/>
      </c>
      <c r="AI37" s="10" t="s">
        <v>36</v>
      </c>
      <c r="AJ37" s="11" t="str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/>
      </c>
      <c r="AK37" s="10" t="s">
        <v>34</v>
      </c>
      <c r="AL37" s="11" t="str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/>
      </c>
      <c r="AM37" s="10" t="s">
        <v>36</v>
      </c>
      <c r="AN37" s="11" t="str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/>
      </c>
      <c r="AO37" s="10" t="s">
        <v>38</v>
      </c>
      <c r="AP37" s="11" t="str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/>
      </c>
      <c r="AQ37" s="10" t="s">
        <v>39</v>
      </c>
      <c r="AR37" s="11" t="str">
        <f t="shared" si="2"/>
        <v/>
      </c>
      <c r="AS37" s="10" t="s">
        <v>39</v>
      </c>
      <c r="AT37" s="11" t="str">
        <f t="shared" si="3"/>
        <v/>
      </c>
      <c r="AU37" s="10" t="s">
        <v>43</v>
      </c>
      <c r="AV37" s="11" t="str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/>
      </c>
      <c r="AW37" s="11" t="str">
        <f>IF($C37="","",IFERROR(--LEFT($C37,FIND("-",$C37)-1),""))</f>
        <v/>
      </c>
      <c r="AX37" s="11" t="str">
        <f>IF($C37="","",IFERROR(--MID($C37,FIND("-",$C37)+1,99),""))</f>
        <v/>
      </c>
    </row>
    <row r="38" spans="1:50" ht="18" customHeight="1" x14ac:dyDescent="0.25">
      <c r="A38" s="9">
        <v>1.916666666666667</v>
      </c>
      <c r="B38" s="18" t="s">
        <v>101</v>
      </c>
      <c r="C38" s="10"/>
      <c r="D38" s="1" t="s">
        <v>102</v>
      </c>
      <c r="E38" s="10" t="s">
        <v>35</v>
      </c>
      <c r="F38" s="11" t="str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/>
      </c>
      <c r="G38" s="10" t="s">
        <v>49</v>
      </c>
      <c r="H38" s="11" t="str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/>
      </c>
      <c r="I38" s="10" t="s">
        <v>33</v>
      </c>
      <c r="J38" s="11" t="str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/>
      </c>
      <c r="K38" s="10" t="s">
        <v>61</v>
      </c>
      <c r="L38" s="11" t="str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/>
      </c>
      <c r="M38" s="10" t="s">
        <v>49</v>
      </c>
      <c r="N38" s="11" t="str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/>
      </c>
      <c r="O38" s="10" t="s">
        <v>33</v>
      </c>
      <c r="P38" s="11" t="str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/>
      </c>
      <c r="Q38" s="10" t="s">
        <v>49</v>
      </c>
      <c r="R38" s="11" t="str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/>
      </c>
      <c r="S38" s="10" t="s">
        <v>63</v>
      </c>
      <c r="T38" s="11" t="str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/>
      </c>
      <c r="U38" s="10" t="s">
        <v>35</v>
      </c>
      <c r="V38" s="11" t="str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/>
      </c>
      <c r="W38" s="10" t="s">
        <v>35</v>
      </c>
      <c r="X38" s="11" t="str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/>
      </c>
      <c r="Y38" s="10" t="s">
        <v>35</v>
      </c>
      <c r="Z38" s="11" t="str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/>
      </c>
      <c r="AA38" s="10" t="s">
        <v>34</v>
      </c>
      <c r="AB38" s="11" t="str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/>
      </c>
      <c r="AC38" s="10" t="s">
        <v>38</v>
      </c>
      <c r="AD38" s="11" t="str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/>
      </c>
      <c r="AE38" s="10" t="s">
        <v>33</v>
      </c>
      <c r="AF38" s="11" t="str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/>
      </c>
      <c r="AG38" s="10" t="s">
        <v>33</v>
      </c>
      <c r="AH38" s="11" t="str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/>
      </c>
      <c r="AI38" s="10" t="s">
        <v>33</v>
      </c>
      <c r="AJ38" s="11" t="str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/>
      </c>
      <c r="AK38" s="10" t="s">
        <v>33</v>
      </c>
      <c r="AL38" s="11" t="str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/>
      </c>
      <c r="AM38" s="10" t="s">
        <v>33</v>
      </c>
      <c r="AN38" s="11" t="str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/>
      </c>
      <c r="AO38" s="10" t="s">
        <v>49</v>
      </c>
      <c r="AP38" s="11" t="str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/>
      </c>
      <c r="AQ38" s="10" t="s">
        <v>61</v>
      </c>
      <c r="AR38" s="11" t="str">
        <f t="shared" si="2"/>
        <v/>
      </c>
      <c r="AS38" s="10" t="s">
        <v>39</v>
      </c>
      <c r="AT38" s="11" t="str">
        <f t="shared" si="3"/>
        <v/>
      </c>
      <c r="AU38" s="10" t="s">
        <v>49</v>
      </c>
      <c r="AV38" s="11" t="str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/>
      </c>
      <c r="AW38" s="11" t="str">
        <f>IF($C38="","",IFERROR(--LEFT($C38,FIND("-",$C38)-1),""))</f>
        <v/>
      </c>
      <c r="AX38" s="11" t="str">
        <f>IF($C38="","",IFERROR(--MID($C38,FIND("-",$C38)+1,99),""))</f>
        <v/>
      </c>
    </row>
    <row r="39" spans="1:50" ht="18" customHeight="1" x14ac:dyDescent="0.2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00000000000001" customHeight="1" x14ac:dyDescent="0.25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4"/>
      <c r="AT40" s="34"/>
      <c r="AU40" s="35"/>
      <c r="AV40" s="36"/>
      <c r="AW40" s="8"/>
      <c r="AX40" s="8"/>
    </row>
    <row r="41" spans="1:50" ht="18" customHeight="1" x14ac:dyDescent="0.25">
      <c r="A41" s="9">
        <v>1.041666666666667</v>
      </c>
      <c r="B41" s="18" t="s">
        <v>104</v>
      </c>
      <c r="C41" s="10"/>
      <c r="D41" s="1" t="s">
        <v>105</v>
      </c>
      <c r="E41" s="10" t="s">
        <v>36</v>
      </c>
      <c r="F41" s="11" t="str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/>
      </c>
      <c r="G41" s="10" t="s">
        <v>106</v>
      </c>
      <c r="H41" s="11" t="str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/>
      </c>
      <c r="I41" s="10" t="s">
        <v>39</v>
      </c>
      <c r="J41" s="11" t="str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/>
      </c>
      <c r="K41" s="10" t="s">
        <v>49</v>
      </c>
      <c r="L41" s="11" t="str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/>
      </c>
      <c r="M41" s="10" t="s">
        <v>36</v>
      </c>
      <c r="N41" s="11" t="str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/>
      </c>
      <c r="O41" s="10" t="s">
        <v>38</v>
      </c>
      <c r="P41" s="11" t="str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/>
      </c>
      <c r="Q41" s="10" t="s">
        <v>35</v>
      </c>
      <c r="R41" s="11" t="str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/>
      </c>
      <c r="S41" s="10" t="s">
        <v>49</v>
      </c>
      <c r="T41" s="11" t="str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/>
      </c>
      <c r="U41" s="10" t="s">
        <v>33</v>
      </c>
      <c r="V41" s="11" t="str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/>
      </c>
      <c r="W41" s="10" t="s">
        <v>36</v>
      </c>
      <c r="X41" s="11" t="str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/>
      </c>
      <c r="Y41" s="10" t="s">
        <v>36</v>
      </c>
      <c r="Z41" s="11" t="str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/>
      </c>
      <c r="AA41" s="10" t="s">
        <v>39</v>
      </c>
      <c r="AB41" s="11" t="str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/>
      </c>
      <c r="AC41" s="10" t="s">
        <v>49</v>
      </c>
      <c r="AD41" s="11" t="str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/>
      </c>
      <c r="AE41" s="10" t="s">
        <v>33</v>
      </c>
      <c r="AF41" s="11" t="str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/>
      </c>
      <c r="AG41" s="10" t="s">
        <v>45</v>
      </c>
      <c r="AH41" s="11" t="str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/>
      </c>
      <c r="AI41" s="10" t="s">
        <v>39</v>
      </c>
      <c r="AJ41" s="11" t="str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/>
      </c>
      <c r="AK41" s="10" t="s">
        <v>36</v>
      </c>
      <c r="AL41" s="11" t="str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/>
      </c>
      <c r="AM41" s="10" t="s">
        <v>36</v>
      </c>
      <c r="AN41" s="11" t="str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/>
      </c>
      <c r="AO41" s="10" t="s">
        <v>39</v>
      </c>
      <c r="AP41" s="11" t="str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/>
      </c>
      <c r="AQ41" s="10" t="s">
        <v>37</v>
      </c>
      <c r="AR41" s="11" t="str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/>
      </c>
      <c r="AS41" s="10" t="s">
        <v>49</v>
      </c>
      <c r="AT41" s="11" t="str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/>
      </c>
      <c r="AU41" s="10" t="s">
        <v>39</v>
      </c>
      <c r="AV41" s="11" t="str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/>
      </c>
      <c r="AW41" s="11" t="str">
        <f>IF($C41="","",IFERROR(--LEFT($C41,FIND("-",$C41)-1),""))</f>
        <v/>
      </c>
      <c r="AX41" s="11" t="str">
        <f>IF($C41="","",IFERROR(--MID($C41,FIND("-",$C41)+1,99),""))</f>
        <v/>
      </c>
    </row>
    <row r="42" spans="1:50" ht="18" customHeight="1" x14ac:dyDescent="0.25">
      <c r="A42" s="9">
        <v>1.166666666666667</v>
      </c>
      <c r="B42" s="18" t="s">
        <v>107</v>
      </c>
      <c r="C42" s="10"/>
      <c r="D42" s="1" t="s">
        <v>108</v>
      </c>
      <c r="E42" s="10" t="s">
        <v>37</v>
      </c>
      <c r="F42" s="11" t="str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/>
      </c>
      <c r="G42" s="10" t="s">
        <v>37</v>
      </c>
      <c r="H42" s="11" t="str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/>
      </c>
      <c r="I42" s="10" t="s">
        <v>35</v>
      </c>
      <c r="J42" s="11" t="str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/>
      </c>
      <c r="K42" s="10" t="s">
        <v>33</v>
      </c>
      <c r="L42" s="11" t="str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/>
      </c>
      <c r="M42" s="10" t="s">
        <v>57</v>
      </c>
      <c r="N42" s="11" t="str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/>
      </c>
      <c r="O42" s="10" t="s">
        <v>56</v>
      </c>
      <c r="P42" s="11" t="str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/>
      </c>
      <c r="Q42" s="10" t="s">
        <v>109</v>
      </c>
      <c r="R42" s="11" t="str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/>
      </c>
      <c r="S42" s="10" t="s">
        <v>35</v>
      </c>
      <c r="T42" s="11" t="str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/>
      </c>
      <c r="U42" s="10" t="s">
        <v>45</v>
      </c>
      <c r="V42" s="11" t="str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/>
      </c>
      <c r="W42" s="10" t="s">
        <v>48</v>
      </c>
      <c r="X42" s="11" t="str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/>
      </c>
      <c r="Y42" s="10" t="s">
        <v>37</v>
      </c>
      <c r="Z42" s="11" t="str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/>
      </c>
      <c r="AA42" s="10" t="s">
        <v>35</v>
      </c>
      <c r="AB42" s="11" t="str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/>
      </c>
      <c r="AC42" s="10" t="s">
        <v>33</v>
      </c>
      <c r="AD42" s="11" t="str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/>
      </c>
      <c r="AE42" s="10" t="s">
        <v>48</v>
      </c>
      <c r="AF42" s="11" t="str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/>
      </c>
      <c r="AG42" s="10" t="s">
        <v>37</v>
      </c>
      <c r="AH42" s="11" t="str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/>
      </c>
      <c r="AI42" s="10" t="s">
        <v>48</v>
      </c>
      <c r="AJ42" s="11" t="str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/>
      </c>
      <c r="AK42" s="10" t="s">
        <v>48</v>
      </c>
      <c r="AL42" s="11" t="str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/>
      </c>
      <c r="AM42" s="10" t="s">
        <v>35</v>
      </c>
      <c r="AN42" s="11" t="str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/>
      </c>
      <c r="AO42" s="10" t="s">
        <v>37</v>
      </c>
      <c r="AP42" s="11" t="str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/>
      </c>
      <c r="AQ42" s="10" t="s">
        <v>35</v>
      </c>
      <c r="AR42" s="11" t="str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/>
      </c>
      <c r="AS42" s="10" t="s">
        <v>39</v>
      </c>
      <c r="AT42" s="11" t="str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/>
      </c>
      <c r="AU42" s="10" t="s">
        <v>37</v>
      </c>
      <c r="AV42" s="11" t="str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/>
      </c>
      <c r="AW42" s="11" t="str">
        <f>IF($C42="","",IFERROR(--LEFT($C42,FIND("-",$C42)-1),""))</f>
        <v/>
      </c>
      <c r="AX42" s="11" t="str">
        <f>IF($C42="","",IFERROR(--MID($C42,FIND("-",$C42)+1,99),""))</f>
        <v/>
      </c>
    </row>
    <row r="43" spans="1:50" ht="18" customHeight="1" x14ac:dyDescent="0.25">
      <c r="A43" s="9">
        <v>1.75</v>
      </c>
      <c r="B43" s="18" t="s">
        <v>42</v>
      </c>
      <c r="C43" s="10"/>
      <c r="D43" s="1" t="s">
        <v>32</v>
      </c>
      <c r="E43" s="10" t="s">
        <v>36</v>
      </c>
      <c r="F43" s="11" t="str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/>
      </c>
      <c r="G43" s="10" t="s">
        <v>35</v>
      </c>
      <c r="H43" s="11" t="str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/>
      </c>
      <c r="I43" s="10" t="s">
        <v>33</v>
      </c>
      <c r="J43" s="11" t="str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/>
      </c>
      <c r="K43" s="10" t="s">
        <v>37</v>
      </c>
      <c r="L43" s="11" t="str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/>
      </c>
      <c r="M43" s="10" t="s">
        <v>33</v>
      </c>
      <c r="N43" s="11" t="str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/>
      </c>
      <c r="O43" s="10" t="s">
        <v>33</v>
      </c>
      <c r="P43" s="11" t="str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/>
      </c>
      <c r="Q43" s="10" t="s">
        <v>33</v>
      </c>
      <c r="R43" s="11" t="str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/>
      </c>
      <c r="S43" s="10" t="s">
        <v>35</v>
      </c>
      <c r="T43" s="11" t="str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/>
      </c>
      <c r="U43" s="10" t="s">
        <v>36</v>
      </c>
      <c r="V43" s="11" t="str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/>
      </c>
      <c r="W43" s="10" t="s">
        <v>33</v>
      </c>
      <c r="X43" s="11" t="str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/>
      </c>
      <c r="Y43" s="10" t="s">
        <v>36</v>
      </c>
      <c r="Z43" s="11" t="str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/>
      </c>
      <c r="AA43" s="10" t="s">
        <v>49</v>
      </c>
      <c r="AB43" s="11" t="str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/>
      </c>
      <c r="AC43" s="10" t="s">
        <v>49</v>
      </c>
      <c r="AD43" s="11" t="str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/>
      </c>
      <c r="AE43" s="10" t="s">
        <v>36</v>
      </c>
      <c r="AF43" s="11" t="str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/>
      </c>
      <c r="AG43" s="10" t="s">
        <v>39</v>
      </c>
      <c r="AH43" s="11" t="str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/>
      </c>
      <c r="AI43" s="10" t="s">
        <v>36</v>
      </c>
      <c r="AJ43" s="11" t="str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/>
      </c>
      <c r="AK43" s="10" t="s">
        <v>39</v>
      </c>
      <c r="AL43" s="11" t="str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/>
      </c>
      <c r="AM43" s="10" t="s">
        <v>39</v>
      </c>
      <c r="AN43" s="11" t="str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/>
      </c>
      <c r="AO43" s="10" t="s">
        <v>50</v>
      </c>
      <c r="AP43" s="11" t="str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/>
      </c>
      <c r="AQ43" s="10" t="s">
        <v>37</v>
      </c>
      <c r="AR43" s="11" t="str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/>
      </c>
      <c r="AS43" s="10" t="s">
        <v>36</v>
      </c>
      <c r="AT43" s="11" t="str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/>
      </c>
      <c r="AU43" s="10" t="s">
        <v>36</v>
      </c>
      <c r="AV43" s="11" t="str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/>
      </c>
      <c r="AW43" s="11" t="str">
        <f>IF($C43="","",IFERROR(--LEFT($C43,FIND("-",$C43)-1),""))</f>
        <v/>
      </c>
      <c r="AX43" s="11" t="str">
        <f>IF($C43="","",IFERROR(--MID($C43,FIND("-",$C43)+1,99),""))</f>
        <v/>
      </c>
    </row>
    <row r="44" spans="1:50" ht="18" customHeight="1" x14ac:dyDescent="0.25">
      <c r="A44" s="9">
        <v>1.875</v>
      </c>
      <c r="B44" s="18" t="s">
        <v>55</v>
      </c>
      <c r="C44" s="10"/>
      <c r="D44" s="1" t="s">
        <v>47</v>
      </c>
      <c r="E44" s="10" t="s">
        <v>36</v>
      </c>
      <c r="F44" s="11" t="str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/>
      </c>
      <c r="G44" s="10" t="s">
        <v>45</v>
      </c>
      <c r="H44" s="11" t="str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/>
      </c>
      <c r="I44" s="10" t="s">
        <v>33</v>
      </c>
      <c r="J44" s="11" t="str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/>
      </c>
      <c r="K44" s="10" t="s">
        <v>33</v>
      </c>
      <c r="L44" s="11" t="str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/>
      </c>
      <c r="M44" s="10" t="s">
        <v>49</v>
      </c>
      <c r="N44" s="11" t="str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/>
      </c>
      <c r="O44" s="10" t="s">
        <v>36</v>
      </c>
      <c r="P44" s="11" t="str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/>
      </c>
      <c r="Q44" s="10" t="s">
        <v>49</v>
      </c>
      <c r="R44" s="11" t="str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/>
      </c>
      <c r="S44" s="10" t="s">
        <v>49</v>
      </c>
      <c r="T44" s="11" t="str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/>
      </c>
      <c r="U44" s="10" t="s">
        <v>33</v>
      </c>
      <c r="V44" s="11" t="str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/>
      </c>
      <c r="W44" s="10" t="s">
        <v>35</v>
      </c>
      <c r="X44" s="11" t="str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/>
      </c>
      <c r="Y44" s="10" t="s">
        <v>33</v>
      </c>
      <c r="Z44" s="11" t="str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/>
      </c>
      <c r="AA44" s="10" t="s">
        <v>37</v>
      </c>
      <c r="AB44" s="11" t="str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/>
      </c>
      <c r="AC44" s="10" t="s">
        <v>33</v>
      </c>
      <c r="AD44" s="11" t="str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/>
      </c>
      <c r="AE44" s="10" t="s">
        <v>33</v>
      </c>
      <c r="AF44" s="11" t="str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/>
      </c>
      <c r="AG44" s="10" t="s">
        <v>33</v>
      </c>
      <c r="AH44" s="11" t="str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/>
      </c>
      <c r="AI44" s="10" t="s">
        <v>39</v>
      </c>
      <c r="AJ44" s="11" t="str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/>
      </c>
      <c r="AK44" s="10" t="s">
        <v>39</v>
      </c>
      <c r="AL44" s="11" t="str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/>
      </c>
      <c r="AM44" s="10" t="s">
        <v>39</v>
      </c>
      <c r="AN44" s="11" t="str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/>
      </c>
      <c r="AO44" s="10" t="s">
        <v>39</v>
      </c>
      <c r="AP44" s="11" t="str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/>
      </c>
      <c r="AQ44" s="10" t="s">
        <v>33</v>
      </c>
      <c r="AR44" s="11" t="str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/>
      </c>
      <c r="AS44" s="10" t="s">
        <v>35</v>
      </c>
      <c r="AT44" s="11" t="str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/>
      </c>
      <c r="AU44" s="10" t="s">
        <v>39</v>
      </c>
      <c r="AV44" s="11" t="str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/>
      </c>
      <c r="AW44" s="11" t="str">
        <f>IF($C44="","",IFERROR(--LEFT($C44,FIND("-",$C44)-1),""))</f>
        <v/>
      </c>
      <c r="AX44" s="11" t="str">
        <f>IF($C44="","",IFERROR(--MID($C44,FIND("-",$C44)+1,99),""))</f>
        <v/>
      </c>
    </row>
    <row r="45" spans="1:50" ht="18" customHeight="1" x14ac:dyDescent="0.2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00000000000001" customHeight="1" x14ac:dyDescent="0.25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4"/>
      <c r="AT46" s="34"/>
      <c r="AU46" s="35"/>
      <c r="AV46" s="36"/>
      <c r="AW46" s="8"/>
      <c r="AX46" s="8"/>
    </row>
    <row r="47" spans="1:50" ht="18" customHeight="1" x14ac:dyDescent="0.25">
      <c r="A47" s="9">
        <v>1</v>
      </c>
      <c r="B47" s="18" t="s">
        <v>46</v>
      </c>
      <c r="C47" s="10"/>
      <c r="D47" s="1" t="s">
        <v>54</v>
      </c>
      <c r="E47" s="10" t="s">
        <v>33</v>
      </c>
      <c r="F47" s="11" t="str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/>
      </c>
      <c r="G47" s="10" t="s">
        <v>61</v>
      </c>
      <c r="H47" s="11" t="str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/>
      </c>
      <c r="I47" s="10" t="s">
        <v>39</v>
      </c>
      <c r="J47" s="11" t="str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/>
      </c>
      <c r="K47" s="10" t="s">
        <v>36</v>
      </c>
      <c r="L47" s="11" t="str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/>
      </c>
      <c r="M47" s="10" t="s">
        <v>36</v>
      </c>
      <c r="N47" s="11" t="str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/>
      </c>
      <c r="O47" s="10" t="s">
        <v>36</v>
      </c>
      <c r="P47" s="11" t="str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/>
      </c>
      <c r="Q47" s="10" t="s">
        <v>38</v>
      </c>
      <c r="R47" s="11" t="str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/>
      </c>
      <c r="S47" s="10" t="s">
        <v>37</v>
      </c>
      <c r="T47" s="11" t="str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/>
      </c>
      <c r="U47" s="10" t="s">
        <v>36</v>
      </c>
      <c r="V47" s="11" t="str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/>
      </c>
      <c r="W47" s="10" t="s">
        <v>33</v>
      </c>
      <c r="X47" s="11" t="str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/>
      </c>
      <c r="Y47" s="10" t="s">
        <v>38</v>
      </c>
      <c r="Z47" s="11" t="str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/>
      </c>
      <c r="AA47" s="10" t="s">
        <v>50</v>
      </c>
      <c r="AB47" s="11" t="str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/>
      </c>
      <c r="AC47" s="10" t="s">
        <v>33</v>
      </c>
      <c r="AD47" s="11" t="str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/>
      </c>
      <c r="AE47" s="10" t="s">
        <v>35</v>
      </c>
      <c r="AF47" s="11" t="str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/>
      </c>
      <c r="AG47" s="10" t="s">
        <v>34</v>
      </c>
      <c r="AH47" s="11" t="str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/>
      </c>
      <c r="AI47" s="10" t="s">
        <v>35</v>
      </c>
      <c r="AJ47" s="11" t="str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/>
      </c>
      <c r="AK47" s="10" t="s">
        <v>35</v>
      </c>
      <c r="AL47" s="11" t="str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/>
      </c>
      <c r="AM47" s="10" t="s">
        <v>49</v>
      </c>
      <c r="AN47" s="11" t="str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/>
      </c>
      <c r="AO47" s="10" t="s">
        <v>35</v>
      </c>
      <c r="AP47" s="11" t="str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/>
      </c>
      <c r="AQ47" s="10" t="s">
        <v>37</v>
      </c>
      <c r="AR47" s="11" t="str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/>
      </c>
      <c r="AS47" s="10" t="s">
        <v>50</v>
      </c>
      <c r="AT47" s="11" t="str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/>
      </c>
      <c r="AU47" s="10" t="s">
        <v>33</v>
      </c>
      <c r="AV47" s="11" t="str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/>
      </c>
      <c r="AW47" s="11" t="str">
        <f>IF($C47="","",IFERROR(--LEFT($C47,FIND("-",$C47)-1),""))</f>
        <v/>
      </c>
      <c r="AX47" s="11" t="str">
        <f>IF($C47="","",IFERROR(--MID($C47,FIND("-",$C47)+1,99),""))</f>
        <v/>
      </c>
    </row>
    <row r="48" spans="1:50" ht="18" customHeight="1" x14ac:dyDescent="0.25">
      <c r="A48" s="9">
        <v>1.125</v>
      </c>
      <c r="B48" s="18" t="s">
        <v>31</v>
      </c>
      <c r="C48" s="10"/>
      <c r="D48" s="1" t="s">
        <v>41</v>
      </c>
      <c r="E48" s="10" t="s">
        <v>39</v>
      </c>
      <c r="F48" s="11" t="str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/>
      </c>
      <c r="G48" s="10" t="s">
        <v>37</v>
      </c>
      <c r="H48" s="11" t="str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/>
      </c>
      <c r="I48" s="10" t="s">
        <v>33</v>
      </c>
      <c r="J48" s="11" t="str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/>
      </c>
      <c r="K48" s="10" t="s">
        <v>38</v>
      </c>
      <c r="L48" s="11" t="str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/>
      </c>
      <c r="M48" s="10" t="s">
        <v>49</v>
      </c>
      <c r="N48" s="11" t="str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/>
      </c>
      <c r="O48" s="10" t="s">
        <v>33</v>
      </c>
      <c r="P48" s="11" t="str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/>
      </c>
      <c r="Q48" s="10" t="s">
        <v>44</v>
      </c>
      <c r="R48" s="11" t="str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/>
      </c>
      <c r="S48" s="10" t="s">
        <v>38</v>
      </c>
      <c r="T48" s="11" t="str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/>
      </c>
      <c r="U48" s="10" t="s">
        <v>33</v>
      </c>
      <c r="V48" s="11" t="str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/>
      </c>
      <c r="W48" s="10" t="s">
        <v>35</v>
      </c>
      <c r="X48" s="11" t="str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/>
      </c>
      <c r="Y48" s="10" t="s">
        <v>33</v>
      </c>
      <c r="Z48" s="11" t="str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/>
      </c>
      <c r="AA48" s="10" t="s">
        <v>49</v>
      </c>
      <c r="AB48" s="11" t="str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/>
      </c>
      <c r="AC48" s="10" t="s">
        <v>33</v>
      </c>
      <c r="AD48" s="11" t="str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/>
      </c>
      <c r="AE48" s="10" t="s">
        <v>33</v>
      </c>
      <c r="AF48" s="11" t="str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/>
      </c>
      <c r="AG48" s="10" t="s">
        <v>39</v>
      </c>
      <c r="AH48" s="11" t="str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/>
      </c>
      <c r="AI48" s="10" t="s">
        <v>49</v>
      </c>
      <c r="AJ48" s="11" t="str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/>
      </c>
      <c r="AK48" s="10" t="s">
        <v>33</v>
      </c>
      <c r="AL48" s="11" t="str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/>
      </c>
      <c r="AM48" s="10" t="s">
        <v>61</v>
      </c>
      <c r="AN48" s="11" t="str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/>
      </c>
      <c r="AO48" s="10" t="s">
        <v>36</v>
      </c>
      <c r="AP48" s="11" t="str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/>
      </c>
      <c r="AQ48" s="10" t="s">
        <v>33</v>
      </c>
      <c r="AR48" s="11" t="str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/>
      </c>
      <c r="AS48" s="10" t="s">
        <v>49</v>
      </c>
      <c r="AT48" s="11" t="str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/>
      </c>
      <c r="AU48" s="10" t="s">
        <v>35</v>
      </c>
      <c r="AV48" s="11" t="str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/>
      </c>
      <c r="AW48" s="11" t="str">
        <f>IF($C48="","",IFERROR(--LEFT($C48,FIND("-",$C48)-1),""))</f>
        <v/>
      </c>
      <c r="AX48" s="11" t="str">
        <f>IF($C48="","",IFERROR(--MID($C48,FIND("-",$C48)+1,99),""))</f>
        <v/>
      </c>
    </row>
    <row r="49" spans="1:50" ht="18" customHeight="1" x14ac:dyDescent="0.25">
      <c r="A49" s="9">
        <v>1.875</v>
      </c>
      <c r="B49" s="18" t="s">
        <v>52</v>
      </c>
      <c r="C49" s="10"/>
      <c r="D49" s="1" t="s">
        <v>67</v>
      </c>
      <c r="E49" s="10" t="s">
        <v>33</v>
      </c>
      <c r="F49" s="11" t="str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/>
      </c>
      <c r="G49" s="10" t="s">
        <v>39</v>
      </c>
      <c r="H49" s="11" t="str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/>
      </c>
      <c r="I49" s="10" t="s">
        <v>39</v>
      </c>
      <c r="J49" s="11" t="str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/>
      </c>
      <c r="K49" s="10" t="s">
        <v>33</v>
      </c>
      <c r="L49" s="11" t="str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/>
      </c>
      <c r="M49" s="10" t="s">
        <v>37</v>
      </c>
      <c r="N49" s="11" t="str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/>
      </c>
      <c r="O49" s="10" t="s">
        <v>33</v>
      </c>
      <c r="P49" s="11" t="str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/>
      </c>
      <c r="Q49" s="10" t="s">
        <v>35</v>
      </c>
      <c r="R49" s="11" t="str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/>
      </c>
      <c r="S49" s="10" t="s">
        <v>34</v>
      </c>
      <c r="T49" s="11" t="str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/>
      </c>
      <c r="U49" s="10" t="s">
        <v>36</v>
      </c>
      <c r="V49" s="11" t="str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/>
      </c>
      <c r="W49" s="10" t="s">
        <v>33</v>
      </c>
      <c r="X49" s="11" t="str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/>
      </c>
      <c r="Y49" s="10" t="s">
        <v>36</v>
      </c>
      <c r="Z49" s="11" t="str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/>
      </c>
      <c r="AA49" s="10" t="s">
        <v>34</v>
      </c>
      <c r="AB49" s="11" t="str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/>
      </c>
      <c r="AC49" s="10" t="s">
        <v>48</v>
      </c>
      <c r="AD49" s="11" t="str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/>
      </c>
      <c r="AE49" s="10" t="s">
        <v>33</v>
      </c>
      <c r="AF49" s="11" t="str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/>
      </c>
      <c r="AG49" s="10" t="s">
        <v>33</v>
      </c>
      <c r="AH49" s="11" t="str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/>
      </c>
      <c r="AI49" s="10" t="s">
        <v>35</v>
      </c>
      <c r="AJ49" s="11" t="str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/>
      </c>
      <c r="AK49" s="10" t="s">
        <v>39</v>
      </c>
      <c r="AL49" s="11" t="str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/>
      </c>
      <c r="AM49" s="10" t="s">
        <v>39</v>
      </c>
      <c r="AN49" s="11" t="str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/>
      </c>
      <c r="AO49" s="10" t="s">
        <v>39</v>
      </c>
      <c r="AP49" s="11" t="str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/>
      </c>
      <c r="AQ49" s="10" t="s">
        <v>49</v>
      </c>
      <c r="AR49" s="11" t="str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/>
      </c>
      <c r="AS49" s="10" t="s">
        <v>37</v>
      </c>
      <c r="AT49" s="11" t="str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/>
      </c>
      <c r="AU49" s="10" t="s">
        <v>50</v>
      </c>
      <c r="AV49" s="11" t="str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/>
      </c>
      <c r="AW49" s="11" t="str">
        <f>IF($C49="","",IFERROR(--LEFT($C49,FIND("-",$C49)-1),""))</f>
        <v/>
      </c>
      <c r="AX49" s="11" t="str">
        <f>IF($C49="","",IFERROR(--MID($C49,FIND("-",$C49)+1,99),""))</f>
        <v/>
      </c>
    </row>
    <row r="50" spans="1:50" ht="18" customHeight="1" x14ac:dyDescent="0.2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00000000000001" customHeight="1" x14ac:dyDescent="0.25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4"/>
      <c r="AT51" s="34"/>
      <c r="AU51" s="35"/>
      <c r="AV51" s="36"/>
      <c r="AW51" s="8"/>
      <c r="AX51" s="8"/>
    </row>
    <row r="52" spans="1:50" ht="18" customHeight="1" x14ac:dyDescent="0.25">
      <c r="A52" s="9">
        <v>1</v>
      </c>
      <c r="B52" s="18" t="s">
        <v>65</v>
      </c>
      <c r="C52" s="10"/>
      <c r="D52" s="1" t="s">
        <v>60</v>
      </c>
      <c r="E52" s="10" t="s">
        <v>37</v>
      </c>
      <c r="F52" s="11" t="str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/>
      </c>
      <c r="G52" s="10" t="s">
        <v>57</v>
      </c>
      <c r="H52" s="11" t="str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/>
      </c>
      <c r="I52" s="10" t="s">
        <v>48</v>
      </c>
      <c r="J52" s="11" t="str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/>
      </c>
      <c r="K52" s="10" t="s">
        <v>49</v>
      </c>
      <c r="L52" s="11" t="str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/>
      </c>
      <c r="M52" s="10" t="s">
        <v>57</v>
      </c>
      <c r="N52" s="11" t="str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/>
      </c>
      <c r="O52" s="10" t="s">
        <v>37</v>
      </c>
      <c r="P52" s="11" t="str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/>
      </c>
      <c r="Q52" s="10" t="s">
        <v>36</v>
      </c>
      <c r="R52" s="11" t="str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/>
      </c>
      <c r="S52" s="10" t="s">
        <v>49</v>
      </c>
      <c r="T52" s="11" t="str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/>
      </c>
      <c r="U52" s="10" t="s">
        <v>35</v>
      </c>
      <c r="V52" s="11" t="str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/>
      </c>
      <c r="W52" s="10" t="s">
        <v>45</v>
      </c>
      <c r="X52" s="11" t="str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/>
      </c>
      <c r="Y52" s="10" t="s">
        <v>56</v>
      </c>
      <c r="Z52" s="11" t="str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/>
      </c>
      <c r="AA52" s="10" t="s">
        <v>48</v>
      </c>
      <c r="AB52" s="11" t="str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/>
      </c>
      <c r="AC52" s="10" t="s">
        <v>57</v>
      </c>
      <c r="AD52" s="11" t="str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/>
      </c>
      <c r="AE52" s="10" t="s">
        <v>35</v>
      </c>
      <c r="AF52" s="11" t="str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/>
      </c>
      <c r="AG52" s="10" t="s">
        <v>37</v>
      </c>
      <c r="AH52" s="11" t="str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/>
      </c>
      <c r="AI52" s="10" t="s">
        <v>39</v>
      </c>
      <c r="AJ52" s="11" t="str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/>
      </c>
      <c r="AK52" s="10" t="s">
        <v>63</v>
      </c>
      <c r="AL52" s="11" t="str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/>
      </c>
      <c r="AM52" s="10" t="s">
        <v>57</v>
      </c>
      <c r="AN52" s="11" t="str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/>
      </c>
      <c r="AO52" s="10" t="s">
        <v>57</v>
      </c>
      <c r="AP52" s="11" t="str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/>
      </c>
      <c r="AQ52" s="10" t="s">
        <v>57</v>
      </c>
      <c r="AR52" s="11" t="str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/>
      </c>
      <c r="AS52" s="10" t="s">
        <v>35</v>
      </c>
      <c r="AT52" s="11" t="str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/>
      </c>
      <c r="AU52" s="10" t="s">
        <v>35</v>
      </c>
      <c r="AV52" s="11" t="str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/>
      </c>
      <c r="AW52" s="11" t="str">
        <f>IF($C52="","",IFERROR(--LEFT($C52,FIND("-",$C52)-1),""))</f>
        <v/>
      </c>
      <c r="AX52" s="11" t="str">
        <f>IF($C52="","",IFERROR(--MID($C52,FIND("-",$C52)+1,99),""))</f>
        <v/>
      </c>
    </row>
    <row r="53" spans="1:50" ht="18" customHeight="1" x14ac:dyDescent="0.25">
      <c r="A53" s="9">
        <v>1.125</v>
      </c>
      <c r="B53" s="18" t="s">
        <v>59</v>
      </c>
      <c r="C53" s="10"/>
      <c r="D53" s="1" t="s">
        <v>64</v>
      </c>
      <c r="E53" s="10" t="s">
        <v>63</v>
      </c>
      <c r="F53" s="11" t="str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/>
      </c>
      <c r="G53" s="10" t="s">
        <v>112</v>
      </c>
      <c r="H53" s="11" t="str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/>
      </c>
      <c r="I53" s="10" t="s">
        <v>36</v>
      </c>
      <c r="J53" s="11" t="str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/>
      </c>
      <c r="K53" s="10" t="s">
        <v>71</v>
      </c>
      <c r="L53" s="11" t="str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/>
      </c>
      <c r="M53" s="10" t="s">
        <v>38</v>
      </c>
      <c r="N53" s="11" t="str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/>
      </c>
      <c r="O53" s="10" t="s">
        <v>38</v>
      </c>
      <c r="P53" s="11" t="str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/>
      </c>
      <c r="Q53" s="10" t="s">
        <v>63</v>
      </c>
      <c r="R53" s="11" t="str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/>
      </c>
      <c r="S53" s="10" t="s">
        <v>63</v>
      </c>
      <c r="T53" s="11" t="str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/>
      </c>
      <c r="U53" s="10" t="s">
        <v>38</v>
      </c>
      <c r="V53" s="11" t="str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/>
      </c>
      <c r="W53" s="10" t="s">
        <v>38</v>
      </c>
      <c r="X53" s="11" t="str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/>
      </c>
      <c r="Y53" s="10" t="s">
        <v>38</v>
      </c>
      <c r="Z53" s="11" t="str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/>
      </c>
      <c r="AA53" s="10" t="s">
        <v>63</v>
      </c>
      <c r="AB53" s="11" t="str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/>
      </c>
      <c r="AC53" s="10" t="s">
        <v>38</v>
      </c>
      <c r="AD53" s="11" t="str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/>
      </c>
      <c r="AE53" s="10" t="s">
        <v>63</v>
      </c>
      <c r="AF53" s="11" t="str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/>
      </c>
      <c r="AG53" s="10" t="s">
        <v>38</v>
      </c>
      <c r="AH53" s="11" t="str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/>
      </c>
      <c r="AI53" s="10" t="s">
        <v>63</v>
      </c>
      <c r="AJ53" s="11" t="str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/>
      </c>
      <c r="AK53" s="10" t="s">
        <v>34</v>
      </c>
      <c r="AL53" s="11" t="str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/>
      </c>
      <c r="AM53" s="10" t="s">
        <v>38</v>
      </c>
      <c r="AN53" s="11" t="str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/>
      </c>
      <c r="AO53" s="10" t="s">
        <v>38</v>
      </c>
      <c r="AP53" s="11" t="str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/>
      </c>
      <c r="AQ53" s="10" t="s">
        <v>61</v>
      </c>
      <c r="AR53" s="11" t="str">
        <f t="shared" si="4"/>
        <v/>
      </c>
      <c r="AS53" s="10" t="s">
        <v>71</v>
      </c>
      <c r="AT53" s="11" t="str">
        <f t="shared" si="5"/>
        <v/>
      </c>
      <c r="AU53" s="10" t="s">
        <v>43</v>
      </c>
      <c r="AV53" s="11" t="str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/>
      </c>
      <c r="AW53" s="11" t="str">
        <f>IF($C53="","",IFERROR(--LEFT($C53,FIND("-",$C53)-1),""))</f>
        <v/>
      </c>
      <c r="AX53" s="11" t="str">
        <f>IF($C53="","",IFERROR(--MID($C53,FIND("-",$C53)+1,99),""))</f>
        <v/>
      </c>
    </row>
    <row r="54" spans="1:50" ht="18" customHeight="1" x14ac:dyDescent="0.25">
      <c r="A54" s="9">
        <v>1.25</v>
      </c>
      <c r="B54" s="18" t="s">
        <v>68</v>
      </c>
      <c r="C54" s="10"/>
      <c r="D54" s="1" t="s">
        <v>53</v>
      </c>
      <c r="E54" s="10" t="s">
        <v>33</v>
      </c>
      <c r="F54" s="11" t="str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/>
      </c>
      <c r="G54" s="10" t="s">
        <v>33</v>
      </c>
      <c r="H54" s="11" t="str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/>
      </c>
      <c r="I54" s="10" t="s">
        <v>33</v>
      </c>
      <c r="J54" s="11" t="str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/>
      </c>
      <c r="K54" s="10" t="s">
        <v>37</v>
      </c>
      <c r="L54" s="11" t="str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/>
      </c>
      <c r="M54" s="10" t="s">
        <v>49</v>
      </c>
      <c r="N54" s="11" t="str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/>
      </c>
      <c r="O54" s="10" t="s">
        <v>35</v>
      </c>
      <c r="P54" s="11" t="str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/>
      </c>
      <c r="Q54" s="10" t="s">
        <v>43</v>
      </c>
      <c r="R54" s="11" t="str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/>
      </c>
      <c r="S54" s="10" t="s">
        <v>49</v>
      </c>
      <c r="T54" s="11" t="str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/>
      </c>
      <c r="U54" s="10" t="s">
        <v>35</v>
      </c>
      <c r="V54" s="11" t="str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/>
      </c>
      <c r="W54" s="10" t="s">
        <v>35</v>
      </c>
      <c r="X54" s="11" t="str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/>
      </c>
      <c r="Y54" s="10" t="s">
        <v>35</v>
      </c>
      <c r="Z54" s="11" t="str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/>
      </c>
      <c r="AA54" s="10" t="s">
        <v>33</v>
      </c>
      <c r="AB54" s="11" t="str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/>
      </c>
      <c r="AC54" s="10" t="s">
        <v>36</v>
      </c>
      <c r="AD54" s="11" t="str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/>
      </c>
      <c r="AE54" s="10" t="s">
        <v>35</v>
      </c>
      <c r="AF54" s="11" t="str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/>
      </c>
      <c r="AG54" s="10" t="s">
        <v>39</v>
      </c>
      <c r="AH54" s="11" t="str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/>
      </c>
      <c r="AI54" s="10" t="s">
        <v>36</v>
      </c>
      <c r="AJ54" s="11" t="str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/>
      </c>
      <c r="AK54" s="10" t="s">
        <v>33</v>
      </c>
      <c r="AL54" s="11" t="str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/>
      </c>
      <c r="AM54" s="10" t="s">
        <v>39</v>
      </c>
      <c r="AN54" s="11" t="str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/>
      </c>
      <c r="AO54" s="10" t="s">
        <v>35</v>
      </c>
      <c r="AP54" s="11" t="str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/>
      </c>
      <c r="AQ54" s="10" t="s">
        <v>35</v>
      </c>
      <c r="AR54" s="11" t="str">
        <f t="shared" si="4"/>
        <v/>
      </c>
      <c r="AS54" s="10" t="s">
        <v>36</v>
      </c>
      <c r="AT54" s="11" t="str">
        <f t="shared" si="5"/>
        <v/>
      </c>
      <c r="AU54" s="10" t="s">
        <v>45</v>
      </c>
      <c r="AV54" s="11" t="str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/>
      </c>
      <c r="AW54" s="11" t="str">
        <f>IF($C54="","",IFERROR(--LEFT($C54,FIND("-",$C54)-1),""))</f>
        <v/>
      </c>
      <c r="AX54" s="11" t="str">
        <f>IF($C54="","",IFERROR(--MID($C54,FIND("-",$C54)+1,99),""))</f>
        <v/>
      </c>
    </row>
    <row r="55" spans="1:50" ht="18" customHeight="1" x14ac:dyDescent="0.25">
      <c r="A55" s="9">
        <v>1.791666666666667</v>
      </c>
      <c r="B55" s="18" t="s">
        <v>73</v>
      </c>
      <c r="C55" s="10"/>
      <c r="D55" s="1" t="s">
        <v>78</v>
      </c>
      <c r="E55" s="10" t="s">
        <v>33</v>
      </c>
      <c r="F55" s="11" t="str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/>
      </c>
      <c r="G55" s="10" t="s">
        <v>39</v>
      </c>
      <c r="H55" s="11" t="str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/>
      </c>
      <c r="I55" s="10" t="s">
        <v>33</v>
      </c>
      <c r="J55" s="11" t="str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/>
      </c>
      <c r="K55" s="10" t="s">
        <v>34</v>
      </c>
      <c r="L55" s="11" t="str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/>
      </c>
      <c r="M55" s="10" t="s">
        <v>33</v>
      </c>
      <c r="N55" s="11" t="str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/>
      </c>
      <c r="O55" s="10" t="s">
        <v>33</v>
      </c>
      <c r="P55" s="11" t="str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/>
      </c>
      <c r="Q55" s="10" t="s">
        <v>49</v>
      </c>
      <c r="R55" s="11" t="str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/>
      </c>
      <c r="S55" s="10" t="s">
        <v>63</v>
      </c>
      <c r="T55" s="11" t="str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/>
      </c>
      <c r="U55" s="10" t="s">
        <v>33</v>
      </c>
      <c r="V55" s="11" t="str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/>
      </c>
      <c r="W55" s="10" t="s">
        <v>36</v>
      </c>
      <c r="X55" s="11" t="str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/>
      </c>
      <c r="Y55" s="10" t="s">
        <v>33</v>
      </c>
      <c r="Z55" s="11" t="str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/>
      </c>
      <c r="AA55" s="10" t="s">
        <v>34</v>
      </c>
      <c r="AB55" s="11" t="str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/>
      </c>
      <c r="AC55" s="10" t="s">
        <v>33</v>
      </c>
      <c r="AD55" s="11" t="str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/>
      </c>
      <c r="AE55" s="10" t="s">
        <v>35</v>
      </c>
      <c r="AF55" s="11" t="str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/>
      </c>
      <c r="AG55" s="10" t="s">
        <v>33</v>
      </c>
      <c r="AH55" s="11" t="str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/>
      </c>
      <c r="AI55" s="10" t="s">
        <v>35</v>
      </c>
      <c r="AJ55" s="11" t="str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/>
      </c>
      <c r="AK55" s="10" t="s">
        <v>36</v>
      </c>
      <c r="AL55" s="11" t="str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/>
      </c>
      <c r="AM55" s="10" t="s">
        <v>36</v>
      </c>
      <c r="AN55" s="11" t="str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/>
      </c>
      <c r="AO55" s="10" t="s">
        <v>36</v>
      </c>
      <c r="AP55" s="11" t="str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/>
      </c>
      <c r="AQ55" s="10" t="s">
        <v>37</v>
      </c>
      <c r="AR55" s="11" t="str">
        <f t="shared" si="4"/>
        <v/>
      </c>
      <c r="AS55" s="10" t="s">
        <v>39</v>
      </c>
      <c r="AT55" s="11" t="str">
        <f t="shared" si="5"/>
        <v/>
      </c>
      <c r="AU55" s="10" t="s">
        <v>33</v>
      </c>
      <c r="AV55" s="11" t="str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/>
      </c>
      <c r="AW55" s="11" t="str">
        <f>IF($C55="","",IFERROR(--LEFT($C55,FIND("-",$C55)-1),""))</f>
        <v/>
      </c>
      <c r="AX55" s="11" t="str">
        <f>IF($C55="","",IFERROR(--MID($C55,FIND("-",$C55)+1,99),""))</f>
        <v/>
      </c>
    </row>
    <row r="56" spans="1:50" ht="18" customHeight="1" x14ac:dyDescent="0.25">
      <c r="A56" s="9">
        <v>1.916666666666667</v>
      </c>
      <c r="B56" s="18" t="s">
        <v>69</v>
      </c>
      <c r="C56" s="10"/>
      <c r="D56" s="1" t="s">
        <v>76</v>
      </c>
      <c r="E56" s="10" t="s">
        <v>33</v>
      </c>
      <c r="F56" s="11" t="str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/>
      </c>
      <c r="G56" s="10" t="s">
        <v>63</v>
      </c>
      <c r="H56" s="11" t="str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/>
      </c>
      <c r="I56" s="10" t="s">
        <v>33</v>
      </c>
      <c r="J56" s="11" t="str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/>
      </c>
      <c r="K56" s="10" t="s">
        <v>43</v>
      </c>
      <c r="L56" s="11" t="str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/>
      </c>
      <c r="M56" s="10" t="s">
        <v>34</v>
      </c>
      <c r="N56" s="11" t="str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/>
      </c>
      <c r="O56" s="10" t="s">
        <v>34</v>
      </c>
      <c r="P56" s="11" t="str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/>
      </c>
      <c r="Q56" s="10" t="s">
        <v>113</v>
      </c>
      <c r="R56" s="11" t="str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/>
      </c>
      <c r="S56" s="10" t="s">
        <v>63</v>
      </c>
      <c r="T56" s="11" t="str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/>
      </c>
      <c r="U56" s="10" t="s">
        <v>36</v>
      </c>
      <c r="V56" s="11" t="str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/>
      </c>
      <c r="W56" s="10" t="s">
        <v>33</v>
      </c>
      <c r="X56" s="11" t="str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/>
      </c>
      <c r="Y56" s="10" t="s">
        <v>33</v>
      </c>
      <c r="Z56" s="11" t="str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/>
      </c>
      <c r="AA56" s="10" t="s">
        <v>34</v>
      </c>
      <c r="AB56" s="11" t="str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/>
      </c>
      <c r="AC56" s="10" t="s">
        <v>61</v>
      </c>
      <c r="AD56" s="11" t="str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/>
      </c>
      <c r="AE56" s="10" t="s">
        <v>33</v>
      </c>
      <c r="AF56" s="11" t="str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/>
      </c>
      <c r="AG56" s="10" t="s">
        <v>36</v>
      </c>
      <c r="AH56" s="11" t="str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/>
      </c>
      <c r="AI56" s="10" t="s">
        <v>38</v>
      </c>
      <c r="AJ56" s="11" t="str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/>
      </c>
      <c r="AK56" s="10" t="s">
        <v>36</v>
      </c>
      <c r="AL56" s="11" t="str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/>
      </c>
      <c r="AM56" s="10" t="s">
        <v>34</v>
      </c>
      <c r="AN56" s="11" t="str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/>
      </c>
      <c r="AO56" s="10" t="s">
        <v>36</v>
      </c>
      <c r="AP56" s="11" t="str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/>
      </c>
      <c r="AQ56" s="10" t="s">
        <v>34</v>
      </c>
      <c r="AR56" s="11" t="str">
        <f t="shared" si="4"/>
        <v/>
      </c>
      <c r="AS56" s="10" t="s">
        <v>38</v>
      </c>
      <c r="AT56" s="11" t="str">
        <f t="shared" si="5"/>
        <v/>
      </c>
      <c r="AU56" s="10" t="s">
        <v>38</v>
      </c>
      <c r="AV56" s="11" t="str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/>
      </c>
      <c r="AW56" s="11" t="str">
        <f>IF($C56="","",IFERROR(--LEFT($C56,FIND("-",$C56)-1),""))</f>
        <v/>
      </c>
      <c r="AX56" s="11" t="str">
        <f>IF($C56="","",IFERROR(--MID($C56,FIND("-",$C56)+1,99),""))</f>
        <v/>
      </c>
    </row>
    <row r="57" spans="1:50" ht="18" customHeight="1" x14ac:dyDescent="0.2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00000000000001" customHeight="1" x14ac:dyDescent="0.25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4"/>
      <c r="AT58" s="34"/>
      <c r="AU58" s="35"/>
      <c r="AV58" s="36"/>
      <c r="AW58" s="8"/>
      <c r="AX58" s="8"/>
    </row>
    <row r="59" spans="1:50" ht="18" customHeight="1" x14ac:dyDescent="0.25">
      <c r="A59" s="9">
        <v>1.083333333333333</v>
      </c>
      <c r="B59" s="18" t="s">
        <v>77</v>
      </c>
      <c r="C59" s="10"/>
      <c r="D59" s="1" t="s">
        <v>70</v>
      </c>
      <c r="E59" s="10" t="s">
        <v>38</v>
      </c>
      <c r="F59" s="11" t="str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/>
      </c>
      <c r="G59" s="10" t="s">
        <v>45</v>
      </c>
      <c r="H59" s="11" t="str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/>
      </c>
      <c r="I59" s="10" t="s">
        <v>38</v>
      </c>
      <c r="J59" s="11" t="str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/>
      </c>
      <c r="K59" s="10" t="s">
        <v>33</v>
      </c>
      <c r="L59" s="11" t="str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/>
      </c>
      <c r="M59" s="10" t="s">
        <v>37</v>
      </c>
      <c r="N59" s="11" t="str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/>
      </c>
      <c r="O59" s="10" t="s">
        <v>38</v>
      </c>
      <c r="P59" s="11" t="str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/>
      </c>
      <c r="Q59" s="10" t="s">
        <v>45</v>
      </c>
      <c r="R59" s="11" t="str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/>
      </c>
      <c r="S59" s="10" t="s">
        <v>33</v>
      </c>
      <c r="T59" s="11" t="str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/>
      </c>
      <c r="U59" s="10" t="s">
        <v>36</v>
      </c>
      <c r="V59" s="11" t="str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/>
      </c>
      <c r="W59" s="10" t="s">
        <v>36</v>
      </c>
      <c r="X59" s="11" t="str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/>
      </c>
      <c r="Y59" s="10" t="s">
        <v>36</v>
      </c>
      <c r="Z59" s="11" t="str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/>
      </c>
      <c r="AA59" s="10" t="s">
        <v>34</v>
      </c>
      <c r="AB59" s="11" t="str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/>
      </c>
      <c r="AC59" s="10" t="s">
        <v>36</v>
      </c>
      <c r="AD59" s="11" t="str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/>
      </c>
      <c r="AE59" s="10" t="s">
        <v>38</v>
      </c>
      <c r="AF59" s="11" t="str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/>
      </c>
      <c r="AG59" s="10" t="s">
        <v>36</v>
      </c>
      <c r="AH59" s="11" t="str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/>
      </c>
      <c r="AI59" s="10" t="s">
        <v>39</v>
      </c>
      <c r="AJ59" s="11" t="str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/>
      </c>
      <c r="AK59" s="10" t="s">
        <v>36</v>
      </c>
      <c r="AL59" s="11" t="str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/>
      </c>
      <c r="AM59" s="10" t="s">
        <v>36</v>
      </c>
      <c r="AN59" s="11" t="str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/>
      </c>
      <c r="AO59" s="10" t="s">
        <v>35</v>
      </c>
      <c r="AP59" s="11" t="str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/>
      </c>
      <c r="AQ59" s="10" t="s">
        <v>37</v>
      </c>
      <c r="AR59" s="11" t="str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/>
      </c>
      <c r="AS59" s="10" t="s">
        <v>34</v>
      </c>
      <c r="AT59" s="11" t="str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/>
      </c>
      <c r="AU59" s="10" t="s">
        <v>45</v>
      </c>
      <c r="AV59" s="11" t="str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/>
      </c>
      <c r="AW59" s="11" t="str">
        <f>IF($C59="","",IFERROR(--LEFT($C59,FIND("-",$C59)-1),""))</f>
        <v/>
      </c>
      <c r="AX59" s="11" t="str">
        <f>IF($C59="","",IFERROR(--MID($C59,FIND("-",$C59)+1,99),""))</f>
        <v/>
      </c>
    </row>
    <row r="60" spans="1:50" ht="18" customHeight="1" x14ac:dyDescent="0.25">
      <c r="A60" s="9">
        <v>1.25</v>
      </c>
      <c r="B60" s="18" t="s">
        <v>79</v>
      </c>
      <c r="C60" s="10"/>
      <c r="D60" s="1" t="s">
        <v>74</v>
      </c>
      <c r="E60" s="10" t="s">
        <v>48</v>
      </c>
      <c r="F60" s="11" t="str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/>
      </c>
      <c r="G60" s="10" t="s">
        <v>57</v>
      </c>
      <c r="H60" s="11" t="str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/>
      </c>
      <c r="I60" s="10" t="s">
        <v>45</v>
      </c>
      <c r="J60" s="11" t="str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/>
      </c>
      <c r="K60" s="10" t="s">
        <v>33</v>
      </c>
      <c r="L60" s="11" t="str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/>
      </c>
      <c r="M60" s="10" t="s">
        <v>48</v>
      </c>
      <c r="N60" s="11" t="str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/>
      </c>
      <c r="O60" s="10" t="s">
        <v>35</v>
      </c>
      <c r="P60" s="11" t="str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/>
      </c>
      <c r="Q60" s="10" t="s">
        <v>57</v>
      </c>
      <c r="R60" s="11" t="str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/>
      </c>
      <c r="S60" s="10" t="s">
        <v>49</v>
      </c>
      <c r="T60" s="11" t="str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/>
      </c>
      <c r="U60" s="10" t="s">
        <v>48</v>
      </c>
      <c r="V60" s="11" t="str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/>
      </c>
      <c r="W60" s="10" t="s">
        <v>45</v>
      </c>
      <c r="X60" s="11" t="str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/>
      </c>
      <c r="Y60" s="10" t="s">
        <v>48</v>
      </c>
      <c r="Z60" s="11" t="str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/>
      </c>
      <c r="AA60" s="10" t="s">
        <v>115</v>
      </c>
      <c r="AB60" s="11" t="str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/>
      </c>
      <c r="AC60" s="10" t="s">
        <v>57</v>
      </c>
      <c r="AD60" s="11" t="str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/>
      </c>
      <c r="AE60" s="10" t="s">
        <v>45</v>
      </c>
      <c r="AF60" s="11" t="str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/>
      </c>
      <c r="AG60" s="10" t="s">
        <v>37</v>
      </c>
      <c r="AH60" s="11" t="str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/>
      </c>
      <c r="AI60" s="10" t="s">
        <v>45</v>
      </c>
      <c r="AJ60" s="11" t="str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/>
      </c>
      <c r="AK60" s="10" t="s">
        <v>33</v>
      </c>
      <c r="AL60" s="11" t="str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/>
      </c>
      <c r="AM60" s="10" t="s">
        <v>45</v>
      </c>
      <c r="AN60" s="11" t="str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/>
      </c>
      <c r="AO60" s="10" t="s">
        <v>48</v>
      </c>
      <c r="AP60" s="11" t="str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/>
      </c>
      <c r="AQ60" s="10" t="s">
        <v>49</v>
      </c>
      <c r="AR60" s="11" t="str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/>
      </c>
      <c r="AS60" s="10" t="s">
        <v>37</v>
      </c>
      <c r="AT60" s="11" t="str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/>
      </c>
      <c r="AU60" s="10" t="s">
        <v>45</v>
      </c>
      <c r="AV60" s="11" t="str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/>
      </c>
      <c r="AW60" s="11" t="str">
        <f>IF($C60="","",IFERROR(--LEFT($C60,FIND("-",$C60)-1),""))</f>
        <v/>
      </c>
      <c r="AX60" s="11" t="str">
        <f>IF($C60="","",IFERROR(--MID($C60,FIND("-",$C60)+1,99),""))</f>
        <v/>
      </c>
    </row>
    <row r="61" spans="1:50" ht="18" customHeight="1" x14ac:dyDescent="0.25">
      <c r="A61" s="9">
        <v>1.75</v>
      </c>
      <c r="B61" s="18" t="s">
        <v>80</v>
      </c>
      <c r="C61" s="10"/>
      <c r="D61" s="1" t="s">
        <v>85</v>
      </c>
      <c r="E61" s="10" t="s">
        <v>34</v>
      </c>
      <c r="F61" s="11" t="str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/>
      </c>
      <c r="G61" s="10" t="s">
        <v>62</v>
      </c>
      <c r="H61" s="11" t="str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/>
      </c>
      <c r="I61" s="10" t="s">
        <v>36</v>
      </c>
      <c r="J61" s="11" t="str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/>
      </c>
      <c r="K61" s="10" t="s">
        <v>43</v>
      </c>
      <c r="L61" s="11" t="str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/>
      </c>
      <c r="M61" s="10" t="s">
        <v>34</v>
      </c>
      <c r="N61" s="11" t="str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/>
      </c>
      <c r="O61" s="10" t="s">
        <v>36</v>
      </c>
      <c r="P61" s="11" t="str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/>
      </c>
      <c r="Q61" s="10" t="s">
        <v>63</v>
      </c>
      <c r="R61" s="11" t="str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/>
      </c>
      <c r="S61" s="10" t="s">
        <v>43</v>
      </c>
      <c r="T61" s="11" t="str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/>
      </c>
      <c r="U61" s="10" t="s">
        <v>38</v>
      </c>
      <c r="V61" s="11" t="str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/>
      </c>
      <c r="W61" s="10" t="s">
        <v>36</v>
      </c>
      <c r="X61" s="11" t="str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/>
      </c>
      <c r="Y61" s="10" t="s">
        <v>36</v>
      </c>
      <c r="Z61" s="11" t="str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/>
      </c>
      <c r="AA61" s="10" t="s">
        <v>62</v>
      </c>
      <c r="AB61" s="11" t="str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/>
      </c>
      <c r="AC61" s="10" t="s">
        <v>38</v>
      </c>
      <c r="AD61" s="11" t="str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/>
      </c>
      <c r="AE61" s="10" t="s">
        <v>38</v>
      </c>
      <c r="AF61" s="11" t="str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/>
      </c>
      <c r="AG61" s="10" t="s">
        <v>38</v>
      </c>
      <c r="AH61" s="11" t="str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/>
      </c>
      <c r="AI61" s="10" t="s">
        <v>36</v>
      </c>
      <c r="AJ61" s="11" t="str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/>
      </c>
      <c r="AK61" s="10" t="s">
        <v>36</v>
      </c>
      <c r="AL61" s="11" t="str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/>
      </c>
      <c r="AM61" s="10" t="s">
        <v>63</v>
      </c>
      <c r="AN61" s="11" t="str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/>
      </c>
      <c r="AO61" s="10" t="s">
        <v>63</v>
      </c>
      <c r="AP61" s="11" t="str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/>
      </c>
      <c r="AQ61" s="10" t="s">
        <v>34</v>
      </c>
      <c r="AR61" s="11" t="str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/>
      </c>
      <c r="AS61" s="10" t="s">
        <v>63</v>
      </c>
      <c r="AT61" s="11" t="str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/>
      </c>
      <c r="AU61" s="10" t="s">
        <v>33</v>
      </c>
      <c r="AV61" s="11" t="str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/>
      </c>
      <c r="AW61" s="11" t="str">
        <f>IF($C61="","",IFERROR(--LEFT($C61,FIND("-",$C61)-1),""))</f>
        <v/>
      </c>
      <c r="AX61" s="11" t="str">
        <f>IF($C61="","",IFERROR(--MID($C61,FIND("-",$C61)+1,99),""))</f>
        <v/>
      </c>
    </row>
    <row r="62" spans="1:50" ht="18" customHeight="1" x14ac:dyDescent="0.25">
      <c r="A62" s="9">
        <v>1.875</v>
      </c>
      <c r="B62" s="18" t="s">
        <v>82</v>
      </c>
      <c r="C62" s="10"/>
      <c r="D62" s="1" t="s">
        <v>87</v>
      </c>
      <c r="E62" s="10" t="s">
        <v>39</v>
      </c>
      <c r="F62" s="11" t="str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/>
      </c>
      <c r="G62" s="10" t="s">
        <v>36</v>
      </c>
      <c r="H62" s="11" t="str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/>
      </c>
      <c r="I62" s="10" t="s">
        <v>39</v>
      </c>
      <c r="J62" s="11" t="str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/>
      </c>
      <c r="K62" s="10" t="s">
        <v>63</v>
      </c>
      <c r="L62" s="11" t="str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/>
      </c>
      <c r="M62" s="10" t="s">
        <v>36</v>
      </c>
      <c r="N62" s="11" t="str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/>
      </c>
      <c r="O62" s="10" t="s">
        <v>34</v>
      </c>
      <c r="P62" s="11" t="str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/>
      </c>
      <c r="Q62" s="10" t="s">
        <v>38</v>
      </c>
      <c r="R62" s="11" t="str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/>
      </c>
      <c r="S62" s="10" t="s">
        <v>43</v>
      </c>
      <c r="T62" s="11" t="str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/>
      </c>
      <c r="U62" s="10" t="s">
        <v>36</v>
      </c>
      <c r="V62" s="11" t="str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/>
      </c>
      <c r="W62" s="10" t="s">
        <v>36</v>
      </c>
      <c r="X62" s="11" t="str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/>
      </c>
      <c r="Y62" s="10" t="s">
        <v>33</v>
      </c>
      <c r="Z62" s="11" t="str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/>
      </c>
      <c r="AA62" s="10" t="s">
        <v>36</v>
      </c>
      <c r="AB62" s="11" t="str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/>
      </c>
      <c r="AC62" s="10" t="s">
        <v>36</v>
      </c>
      <c r="AD62" s="11" t="str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/>
      </c>
      <c r="AE62" s="10" t="s">
        <v>36</v>
      </c>
      <c r="AF62" s="11" t="str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/>
      </c>
      <c r="AG62" s="10" t="s">
        <v>36</v>
      </c>
      <c r="AH62" s="11" t="str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/>
      </c>
      <c r="AI62" s="10" t="s">
        <v>38</v>
      </c>
      <c r="AJ62" s="11" t="str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/>
      </c>
      <c r="AK62" s="10" t="s">
        <v>36</v>
      </c>
      <c r="AL62" s="11" t="str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/>
      </c>
      <c r="AM62" s="10" t="s">
        <v>35</v>
      </c>
      <c r="AN62" s="11" t="str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/>
      </c>
      <c r="AO62" s="10" t="s">
        <v>35</v>
      </c>
      <c r="AP62" s="11" t="str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/>
      </c>
      <c r="AQ62" s="10" t="s">
        <v>33</v>
      </c>
      <c r="AR62" s="11" t="str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/>
      </c>
      <c r="AS62" s="10" t="s">
        <v>45</v>
      </c>
      <c r="AT62" s="11" t="str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/>
      </c>
      <c r="AU62" s="10" t="s">
        <v>36</v>
      </c>
      <c r="AV62" s="11" t="str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/>
      </c>
      <c r="AW62" s="11" t="str">
        <f>IF($C62="","",IFERROR(--LEFT($C62,FIND("-",$C62)-1),""))</f>
        <v/>
      </c>
      <c r="AX62" s="11" t="str">
        <f>IF($C62="","",IFERROR(--MID($C62,FIND("-",$C62)+1,99),""))</f>
        <v/>
      </c>
    </row>
    <row r="63" spans="1:50" ht="18" customHeight="1" x14ac:dyDescent="0.2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00000000000001" customHeight="1" x14ac:dyDescent="0.25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4"/>
      <c r="AT64" s="34"/>
      <c r="AU64" s="35"/>
      <c r="AV64" s="36"/>
      <c r="AW64" s="8"/>
      <c r="AX64" s="8"/>
    </row>
    <row r="65" spans="1:50" ht="18" customHeight="1" x14ac:dyDescent="0.25">
      <c r="A65" s="9">
        <v>1</v>
      </c>
      <c r="B65" s="18" t="s">
        <v>86</v>
      </c>
      <c r="C65" s="10"/>
      <c r="D65" s="1" t="s">
        <v>81</v>
      </c>
      <c r="E65" s="10" t="s">
        <v>36</v>
      </c>
      <c r="F65" s="11" t="str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/>
      </c>
      <c r="G65" s="10" t="s">
        <v>61</v>
      </c>
      <c r="H65" s="11" t="str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/>
      </c>
      <c r="I65" s="10" t="s">
        <v>36</v>
      </c>
      <c r="J65" s="11" t="str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/>
      </c>
      <c r="K65" s="10" t="s">
        <v>33</v>
      </c>
      <c r="L65" s="11" t="str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/>
      </c>
      <c r="M65" s="10" t="s">
        <v>33</v>
      </c>
      <c r="N65" s="11" t="str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/>
      </c>
      <c r="O65" s="10" t="s">
        <v>38</v>
      </c>
      <c r="P65" s="11" t="str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/>
      </c>
      <c r="Q65" s="10" t="s">
        <v>39</v>
      </c>
      <c r="R65" s="11" t="str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/>
      </c>
      <c r="S65" s="10" t="s">
        <v>37</v>
      </c>
      <c r="T65" s="11" t="str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/>
      </c>
      <c r="U65" s="10" t="s">
        <v>39</v>
      </c>
      <c r="V65" s="11" t="str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/>
      </c>
      <c r="W65" s="10" t="s">
        <v>36</v>
      </c>
      <c r="X65" s="11" t="str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/>
      </c>
      <c r="Y65" s="10" t="s">
        <v>36</v>
      </c>
      <c r="Z65" s="11" t="str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/>
      </c>
      <c r="AA65" s="10" t="s">
        <v>50</v>
      </c>
      <c r="AB65" s="11" t="str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/>
      </c>
      <c r="AC65" s="10" t="s">
        <v>36</v>
      </c>
      <c r="AD65" s="11" t="str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/>
      </c>
      <c r="AE65" s="10" t="s">
        <v>36</v>
      </c>
      <c r="AF65" s="11" t="str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/>
      </c>
      <c r="AG65" s="10" t="s">
        <v>36</v>
      </c>
      <c r="AH65" s="11" t="str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/>
      </c>
      <c r="AI65" s="10" t="s">
        <v>39</v>
      </c>
      <c r="AJ65" s="11" t="str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/>
      </c>
      <c r="AK65" s="10" t="s">
        <v>34</v>
      </c>
      <c r="AL65" s="11" t="str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/>
      </c>
      <c r="AM65" s="10" t="s">
        <v>35</v>
      </c>
      <c r="AN65" s="11" t="str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/>
      </c>
      <c r="AO65" s="10" t="s">
        <v>36</v>
      </c>
      <c r="AP65" s="11" t="str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/>
      </c>
      <c r="AQ65" s="10" t="s">
        <v>35</v>
      </c>
      <c r="AR65" s="11" t="str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/>
      </c>
      <c r="AS65" s="10" t="s">
        <v>38</v>
      </c>
      <c r="AT65" s="11" t="str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/>
      </c>
      <c r="AU65" s="10" t="s">
        <v>36</v>
      </c>
      <c r="AV65" s="11" t="str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/>
      </c>
      <c r="AW65" s="11" t="str">
        <f>IF($C65="","",IFERROR(--LEFT($C65,FIND("-",$C65)-1),""))</f>
        <v/>
      </c>
      <c r="AX65" s="11" t="str">
        <f>IF($C65="","",IFERROR(--MID($C65,FIND("-",$C65)+1,99),""))</f>
        <v/>
      </c>
    </row>
    <row r="66" spans="1:50" ht="18" customHeight="1" x14ac:dyDescent="0.25">
      <c r="A66" s="9">
        <v>1.125</v>
      </c>
      <c r="B66" s="18" t="s">
        <v>88</v>
      </c>
      <c r="C66" s="10"/>
      <c r="D66" s="1" t="s">
        <v>83</v>
      </c>
      <c r="E66" s="10" t="s">
        <v>48</v>
      </c>
      <c r="F66" s="11" t="str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/>
      </c>
      <c r="G66" s="10" t="s">
        <v>48</v>
      </c>
      <c r="H66" s="11" t="str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/>
      </c>
      <c r="I66" s="10" t="s">
        <v>45</v>
      </c>
      <c r="J66" s="11" t="str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/>
      </c>
      <c r="K66" s="10" t="s">
        <v>37</v>
      </c>
      <c r="L66" s="11" t="str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/>
      </c>
      <c r="M66" s="10" t="s">
        <v>37</v>
      </c>
      <c r="N66" s="11" t="str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/>
      </c>
      <c r="O66" s="10" t="s">
        <v>37</v>
      </c>
      <c r="P66" s="11" t="str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/>
      </c>
      <c r="Q66" s="10" t="s">
        <v>33</v>
      </c>
      <c r="R66" s="11" t="str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/>
      </c>
      <c r="S66" s="10" t="s">
        <v>33</v>
      </c>
      <c r="T66" s="11" t="str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/>
      </c>
      <c r="U66" s="10" t="s">
        <v>48</v>
      </c>
      <c r="V66" s="11" t="str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/>
      </c>
      <c r="W66" s="10" t="s">
        <v>48</v>
      </c>
      <c r="X66" s="11" t="str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/>
      </c>
      <c r="Y66" s="10" t="s">
        <v>45</v>
      </c>
      <c r="Z66" s="11" t="str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/>
      </c>
      <c r="AA66" s="10" t="s">
        <v>37</v>
      </c>
      <c r="AB66" s="11" t="str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/>
      </c>
      <c r="AC66" s="10" t="s">
        <v>37</v>
      </c>
      <c r="AD66" s="11" t="str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/>
      </c>
      <c r="AE66" s="10" t="s">
        <v>35</v>
      </c>
      <c r="AF66" s="11" t="str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/>
      </c>
      <c r="AG66" s="10" t="s">
        <v>37</v>
      </c>
      <c r="AH66" s="11" t="str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/>
      </c>
      <c r="AI66" s="10" t="s">
        <v>37</v>
      </c>
      <c r="AJ66" s="11" t="str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/>
      </c>
      <c r="AK66" s="10" t="s">
        <v>57</v>
      </c>
      <c r="AL66" s="11" t="str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/>
      </c>
      <c r="AM66" s="10" t="s">
        <v>48</v>
      </c>
      <c r="AN66" s="11" t="str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/>
      </c>
      <c r="AO66" s="10" t="s">
        <v>45</v>
      </c>
      <c r="AP66" s="11" t="str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/>
      </c>
      <c r="AQ66" s="10" t="s">
        <v>37</v>
      </c>
      <c r="AR66" s="11" t="str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/>
      </c>
      <c r="AS66" s="10" t="s">
        <v>35</v>
      </c>
      <c r="AT66" s="11" t="str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/>
      </c>
      <c r="AU66" s="10" t="s">
        <v>50</v>
      </c>
      <c r="AV66" s="11" t="str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/>
      </c>
      <c r="AW66" s="11" t="str">
        <f>IF($C66="","",IFERROR(--LEFT($C66,FIND("-",$C66)-1),""))</f>
        <v/>
      </c>
      <c r="AX66" s="11" t="str">
        <f>IF($C66="","",IFERROR(--MID($C66,FIND("-",$C66)+1,99),""))</f>
        <v/>
      </c>
    </row>
    <row r="67" spans="1:50" ht="18" customHeight="1" x14ac:dyDescent="0.25">
      <c r="A67" s="9">
        <v>1.791666666666667</v>
      </c>
      <c r="B67" s="18" t="s">
        <v>95</v>
      </c>
      <c r="C67" s="10"/>
      <c r="D67" s="1" t="s">
        <v>97</v>
      </c>
      <c r="E67" s="10" t="s">
        <v>36</v>
      </c>
      <c r="F67" s="11" t="str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/>
      </c>
      <c r="G67" s="10" t="s">
        <v>33</v>
      </c>
      <c r="H67" s="11" t="str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/>
      </c>
      <c r="I67" s="10" t="s">
        <v>36</v>
      </c>
      <c r="J67" s="11" t="str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/>
      </c>
      <c r="K67" s="10" t="s">
        <v>43</v>
      </c>
      <c r="L67" s="11" t="str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/>
      </c>
      <c r="M67" s="10" t="s">
        <v>49</v>
      </c>
      <c r="N67" s="11" t="str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/>
      </c>
      <c r="O67" s="10" t="s">
        <v>33</v>
      </c>
      <c r="P67" s="11" t="str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/>
      </c>
      <c r="Q67" s="10" t="s">
        <v>61</v>
      </c>
      <c r="R67" s="11" t="str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/>
      </c>
      <c r="S67" s="10" t="s">
        <v>63</v>
      </c>
      <c r="T67" s="11" t="str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/>
      </c>
      <c r="U67" s="10" t="s">
        <v>39</v>
      </c>
      <c r="V67" s="11" t="str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/>
      </c>
      <c r="W67" s="10" t="s">
        <v>33</v>
      </c>
      <c r="X67" s="11" t="str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/>
      </c>
      <c r="Y67" s="10" t="s">
        <v>35</v>
      </c>
      <c r="Z67" s="11" t="str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/>
      </c>
      <c r="AA67" s="10" t="s">
        <v>36</v>
      </c>
      <c r="AB67" s="11" t="str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/>
      </c>
      <c r="AC67" s="10" t="s">
        <v>34</v>
      </c>
      <c r="AD67" s="11" t="str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/>
      </c>
      <c r="AE67" s="10" t="s">
        <v>36</v>
      </c>
      <c r="AF67" s="11" t="str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/>
      </c>
      <c r="AG67" s="10" t="s">
        <v>38</v>
      </c>
      <c r="AH67" s="11" t="str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/>
      </c>
      <c r="AI67" s="10" t="s">
        <v>35</v>
      </c>
      <c r="AJ67" s="11" t="str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/>
      </c>
      <c r="AK67" s="10" t="s">
        <v>36</v>
      </c>
      <c r="AL67" s="11" t="str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/>
      </c>
      <c r="AM67" s="10" t="s">
        <v>36</v>
      </c>
      <c r="AN67" s="11" t="str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/>
      </c>
      <c r="AO67" s="10" t="s">
        <v>34</v>
      </c>
      <c r="AP67" s="11" t="str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/>
      </c>
      <c r="AQ67" s="10" t="s">
        <v>49</v>
      </c>
      <c r="AR67" s="11" t="str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/>
      </c>
      <c r="AS67" s="10" t="s">
        <v>35</v>
      </c>
      <c r="AT67" s="11" t="str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/>
      </c>
      <c r="AU67" s="10" t="s">
        <v>34</v>
      </c>
      <c r="AV67" s="11" t="str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/>
      </c>
      <c r="AW67" s="11" t="str">
        <f>IF($C67="","",IFERROR(--LEFT($C67,FIND("-",$C67)-1),""))</f>
        <v/>
      </c>
      <c r="AX67" s="11" t="str">
        <f>IF($C67="","",IFERROR(--MID($C67,FIND("-",$C67)+1,99),""))</f>
        <v/>
      </c>
    </row>
    <row r="68" spans="1:50" ht="18" customHeight="1" x14ac:dyDescent="0.25">
      <c r="A68" s="9">
        <v>1.958333333333333</v>
      </c>
      <c r="B68" s="18" t="s">
        <v>89</v>
      </c>
      <c r="C68" s="10"/>
      <c r="D68" s="1" t="s">
        <v>93</v>
      </c>
      <c r="E68" s="10" t="s">
        <v>63</v>
      </c>
      <c r="F68" s="11" t="str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/>
      </c>
      <c r="G68" s="10" t="s">
        <v>63</v>
      </c>
      <c r="H68" s="11" t="str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/>
      </c>
      <c r="I68" s="10" t="s">
        <v>36</v>
      </c>
      <c r="J68" s="11" t="str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/>
      </c>
      <c r="K68" s="10" t="s">
        <v>71</v>
      </c>
      <c r="L68" s="11" t="str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/>
      </c>
      <c r="M68" s="10" t="s">
        <v>38</v>
      </c>
      <c r="N68" s="11" t="str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/>
      </c>
      <c r="O68" s="10" t="s">
        <v>63</v>
      </c>
      <c r="P68" s="11" t="str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/>
      </c>
      <c r="Q68" s="10" t="s">
        <v>71</v>
      </c>
      <c r="R68" s="11" t="str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/>
      </c>
      <c r="S68" s="10" t="s">
        <v>63</v>
      </c>
      <c r="T68" s="11" t="str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/>
      </c>
      <c r="U68" s="10" t="s">
        <v>38</v>
      </c>
      <c r="V68" s="11" t="str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/>
      </c>
      <c r="W68" s="10" t="s">
        <v>36</v>
      </c>
      <c r="X68" s="11" t="str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/>
      </c>
      <c r="Y68" s="10" t="s">
        <v>38</v>
      </c>
      <c r="Z68" s="11" t="str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/>
      </c>
      <c r="AA68" s="10" t="s">
        <v>38</v>
      </c>
      <c r="AB68" s="11" t="str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/>
      </c>
      <c r="AC68" s="10" t="s">
        <v>38</v>
      </c>
      <c r="AD68" s="11" t="str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/>
      </c>
      <c r="AE68" s="10" t="s">
        <v>38</v>
      </c>
      <c r="AF68" s="11" t="str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/>
      </c>
      <c r="AG68" s="10" t="s">
        <v>38</v>
      </c>
      <c r="AH68" s="11" t="str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/>
      </c>
      <c r="AI68" s="10" t="s">
        <v>38</v>
      </c>
      <c r="AJ68" s="11" t="str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/>
      </c>
      <c r="AK68" s="10" t="s">
        <v>36</v>
      </c>
      <c r="AL68" s="11" t="str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/>
      </c>
      <c r="AM68" s="10" t="s">
        <v>36</v>
      </c>
      <c r="AN68" s="11" t="str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/>
      </c>
      <c r="AO68" s="10" t="s">
        <v>36</v>
      </c>
      <c r="AP68" s="11" t="str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/>
      </c>
      <c r="AQ68" s="10" t="s">
        <v>34</v>
      </c>
      <c r="AR68" s="11" t="str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/>
      </c>
      <c r="AS68" s="10" t="s">
        <v>38</v>
      </c>
      <c r="AT68" s="11" t="str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/>
      </c>
      <c r="AU68" s="10" t="s">
        <v>63</v>
      </c>
      <c r="AV68" s="11" t="str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/>
      </c>
      <c r="AW68" s="11" t="str">
        <f>IF($C68="","",IFERROR(--LEFT($C68,FIND("-",$C68)-1),""))</f>
        <v/>
      </c>
      <c r="AX68" s="11" t="str">
        <f>IF($C68="","",IFERROR(--MID($C68,FIND("-",$C68)+1,99),""))</f>
        <v/>
      </c>
    </row>
    <row r="69" spans="1:50" ht="18" customHeight="1" x14ac:dyDescent="0.2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00000000000001" customHeight="1" x14ac:dyDescent="0.25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4"/>
      <c r="AT70" s="34"/>
      <c r="AU70" s="35"/>
      <c r="AV70" s="36"/>
      <c r="AW70" s="8"/>
      <c r="AX70" s="8"/>
    </row>
    <row r="71" spans="1:50" ht="18" customHeight="1" x14ac:dyDescent="0.25">
      <c r="A71" s="9">
        <v>1.083333333333333</v>
      </c>
      <c r="B71" s="18" t="s">
        <v>94</v>
      </c>
      <c r="C71" s="10"/>
      <c r="D71" s="1" t="s">
        <v>90</v>
      </c>
      <c r="E71" s="10" t="s">
        <v>33</v>
      </c>
      <c r="F71" s="11" t="str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/>
      </c>
      <c r="G71" s="10" t="s">
        <v>36</v>
      </c>
      <c r="H71" s="11" t="str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/>
      </c>
      <c r="I71" s="10" t="s">
        <v>35</v>
      </c>
      <c r="J71" s="11" t="str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/>
      </c>
      <c r="K71" s="10" t="s">
        <v>34</v>
      </c>
      <c r="L71" s="11" t="str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/>
      </c>
      <c r="M71" s="10" t="s">
        <v>49</v>
      </c>
      <c r="N71" s="11" t="str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/>
      </c>
      <c r="O71" s="10" t="s">
        <v>35</v>
      </c>
      <c r="P71" s="11" t="str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/>
      </c>
      <c r="Q71" s="10" t="s">
        <v>38</v>
      </c>
      <c r="R71" s="11" t="str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/>
      </c>
      <c r="S71" s="10" t="s">
        <v>49</v>
      </c>
      <c r="T71" s="11" t="str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/>
      </c>
      <c r="U71" s="10" t="s">
        <v>35</v>
      </c>
      <c r="V71" s="11" t="str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/>
      </c>
      <c r="W71" s="10" t="s">
        <v>35</v>
      </c>
      <c r="X71" s="11" t="str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/>
      </c>
      <c r="Y71" s="10" t="s">
        <v>35</v>
      </c>
      <c r="Z71" s="11" t="str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/>
      </c>
      <c r="AA71" s="10" t="s">
        <v>49</v>
      </c>
      <c r="AB71" s="11" t="str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/>
      </c>
      <c r="AC71" s="10" t="s">
        <v>33</v>
      </c>
      <c r="AD71" s="11" t="str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/>
      </c>
      <c r="AE71" s="10" t="s">
        <v>35</v>
      </c>
      <c r="AF71" s="11" t="str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/>
      </c>
      <c r="AG71" s="10" t="s">
        <v>35</v>
      </c>
      <c r="AH71" s="11" t="str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/>
      </c>
      <c r="AI71" s="10" t="s">
        <v>36</v>
      </c>
      <c r="AJ71" s="11" t="str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/>
      </c>
      <c r="AK71" s="10" t="s">
        <v>33</v>
      </c>
      <c r="AL71" s="11" t="str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/>
      </c>
      <c r="AM71" s="10" t="s">
        <v>34</v>
      </c>
      <c r="AN71" s="11" t="str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/>
      </c>
      <c r="AO71" s="10" t="s">
        <v>39</v>
      </c>
      <c r="AP71" s="11" t="str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/>
      </c>
      <c r="AQ71" s="10" t="s">
        <v>33</v>
      </c>
      <c r="AR71" s="11" t="str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/>
      </c>
      <c r="AS71" s="10" t="s">
        <v>36</v>
      </c>
      <c r="AT71" s="11" t="str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/>
      </c>
      <c r="AU71" s="10" t="s">
        <v>45</v>
      </c>
      <c r="AV71" s="11" t="str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/>
      </c>
      <c r="AW71" s="11" t="str">
        <f>IF($C71="","",IFERROR(--LEFT($C71,FIND("-",$C71)-1),""))</f>
        <v/>
      </c>
      <c r="AX71" s="11" t="str">
        <f>IF($C71="","",IFERROR(--MID($C71,FIND("-",$C71)+1,99),""))</f>
        <v/>
      </c>
    </row>
    <row r="72" spans="1:50" ht="18" customHeight="1" x14ac:dyDescent="0.25">
      <c r="A72" s="9">
        <v>1.208333333333333</v>
      </c>
      <c r="B72" s="18" t="s">
        <v>98</v>
      </c>
      <c r="C72" s="10"/>
      <c r="D72" s="1" t="s">
        <v>96</v>
      </c>
      <c r="E72" s="10" t="s">
        <v>37</v>
      </c>
      <c r="F72" s="11" t="str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/>
      </c>
      <c r="G72" s="10" t="s">
        <v>48</v>
      </c>
      <c r="H72" s="11" t="str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/>
      </c>
      <c r="I72" s="10" t="s">
        <v>45</v>
      </c>
      <c r="J72" s="11" t="str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/>
      </c>
      <c r="K72" s="10" t="s">
        <v>35</v>
      </c>
      <c r="L72" s="11" t="str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/>
      </c>
      <c r="M72" s="10" t="s">
        <v>57</v>
      </c>
      <c r="N72" s="11" t="str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/>
      </c>
      <c r="O72" s="10" t="s">
        <v>49</v>
      </c>
      <c r="P72" s="11" t="str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/>
      </c>
      <c r="Q72" s="10" t="s">
        <v>35</v>
      </c>
      <c r="R72" s="11" t="str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/>
      </c>
      <c r="S72" s="10" t="s">
        <v>33</v>
      </c>
      <c r="T72" s="11" t="str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/>
      </c>
      <c r="U72" s="10" t="s">
        <v>37</v>
      </c>
      <c r="V72" s="11" t="str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/>
      </c>
      <c r="W72" s="10" t="s">
        <v>45</v>
      </c>
      <c r="X72" s="11" t="str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/>
      </c>
      <c r="Y72" s="10" t="s">
        <v>37</v>
      </c>
      <c r="Z72" s="11" t="str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/>
      </c>
      <c r="AA72" s="10" t="s">
        <v>50</v>
      </c>
      <c r="AB72" s="11" t="str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/>
      </c>
      <c r="AC72" s="10" t="s">
        <v>36</v>
      </c>
      <c r="AD72" s="11" t="str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/>
      </c>
      <c r="AE72" s="10" t="s">
        <v>48</v>
      </c>
      <c r="AF72" s="11" t="str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/>
      </c>
      <c r="AG72" s="10" t="s">
        <v>48</v>
      </c>
      <c r="AH72" s="11" t="str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/>
      </c>
      <c r="AI72" s="10" t="s">
        <v>50</v>
      </c>
      <c r="AJ72" s="11" t="str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/>
      </c>
      <c r="AK72" s="10" t="s">
        <v>37</v>
      </c>
      <c r="AL72" s="11" t="str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/>
      </c>
      <c r="AM72" s="10" t="s">
        <v>50</v>
      </c>
      <c r="AN72" s="11" t="str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/>
      </c>
      <c r="AO72" s="10" t="s">
        <v>48</v>
      </c>
      <c r="AP72" s="11" t="str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/>
      </c>
      <c r="AQ72" s="10" t="s">
        <v>35</v>
      </c>
      <c r="AR72" s="11" t="str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/>
      </c>
      <c r="AS72" s="10" t="s">
        <v>35</v>
      </c>
      <c r="AT72" s="11" t="str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/>
      </c>
      <c r="AU72" s="10" t="s">
        <v>45</v>
      </c>
      <c r="AV72" s="11" t="str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/>
      </c>
      <c r="AW72" s="11" t="str">
        <f>IF($C72="","",IFERROR(--LEFT($C72,FIND("-",$C72)-1),""))</f>
        <v/>
      </c>
      <c r="AX72" s="11" t="str">
        <f>IF($C72="","",IFERROR(--MID($C72,FIND("-",$C72)+1,99),""))</f>
        <v/>
      </c>
    </row>
    <row r="73" spans="1:50" ht="18" customHeight="1" x14ac:dyDescent="0.25">
      <c r="A73" s="9">
        <v>1.791666666666667</v>
      </c>
      <c r="B73" s="18" t="s">
        <v>99</v>
      </c>
      <c r="C73" s="10"/>
      <c r="D73" s="1" t="s">
        <v>107</v>
      </c>
      <c r="E73" s="10" t="s">
        <v>36</v>
      </c>
      <c r="F73" s="11" t="str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/>
      </c>
      <c r="G73" s="10" t="s">
        <v>38</v>
      </c>
      <c r="H73" s="11" t="str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/>
      </c>
      <c r="I73" s="10" t="s">
        <v>33</v>
      </c>
      <c r="J73" s="11" t="str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/>
      </c>
      <c r="K73" s="10" t="s">
        <v>33</v>
      </c>
      <c r="L73" s="11" t="str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/>
      </c>
      <c r="M73" s="10" t="s">
        <v>36</v>
      </c>
      <c r="N73" s="11" t="str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/>
      </c>
      <c r="O73" s="10" t="s">
        <v>38</v>
      </c>
      <c r="P73" s="11" t="str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/>
      </c>
      <c r="Q73" s="10" t="s">
        <v>113</v>
      </c>
      <c r="R73" s="11" t="str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/>
      </c>
      <c r="S73" s="10" t="s">
        <v>43</v>
      </c>
      <c r="T73" s="11" t="str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/>
      </c>
      <c r="U73" s="10" t="s">
        <v>36</v>
      </c>
      <c r="V73" s="11" t="str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/>
      </c>
      <c r="W73" s="10" t="s">
        <v>38</v>
      </c>
      <c r="X73" s="11" t="str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/>
      </c>
      <c r="Y73" s="10" t="s">
        <v>36</v>
      </c>
      <c r="Z73" s="11" t="str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/>
      </c>
      <c r="AA73" s="10" t="s">
        <v>43</v>
      </c>
      <c r="AB73" s="11" t="str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/>
      </c>
      <c r="AC73" s="10" t="s">
        <v>63</v>
      </c>
      <c r="AD73" s="11" t="str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/>
      </c>
      <c r="AE73" s="10" t="s">
        <v>38</v>
      </c>
      <c r="AF73" s="11" t="str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/>
      </c>
      <c r="AG73" s="10" t="s">
        <v>36</v>
      </c>
      <c r="AH73" s="11" t="str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/>
      </c>
      <c r="AI73" s="10" t="s">
        <v>71</v>
      </c>
      <c r="AJ73" s="11" t="str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/>
      </c>
      <c r="AK73" s="10" t="s">
        <v>36</v>
      </c>
      <c r="AL73" s="11" t="str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/>
      </c>
      <c r="AM73" s="10" t="s">
        <v>38</v>
      </c>
      <c r="AN73" s="11" t="str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/>
      </c>
      <c r="AO73" s="10" t="s">
        <v>36</v>
      </c>
      <c r="AP73" s="11" t="str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/>
      </c>
      <c r="AQ73" s="10" t="s">
        <v>33</v>
      </c>
      <c r="AR73" s="11" t="str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/>
      </c>
      <c r="AS73" s="10" t="s">
        <v>39</v>
      </c>
      <c r="AT73" s="11" t="str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/>
      </c>
      <c r="AU73" s="10" t="s">
        <v>34</v>
      </c>
      <c r="AV73" s="11" t="str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/>
      </c>
      <c r="AW73" s="11" t="str">
        <f>IF($C73="","",IFERROR(--LEFT($C73,FIND("-",$C73)-1),""))</f>
        <v/>
      </c>
      <c r="AX73" s="11" t="str">
        <f>IF($C73="","",IFERROR(--MID($C73,FIND("-",$C73)+1,99),""))</f>
        <v/>
      </c>
    </row>
    <row r="74" spans="1:50" ht="18" customHeight="1" x14ac:dyDescent="0.25">
      <c r="A74" s="9">
        <v>1.916666666666667</v>
      </c>
      <c r="B74" s="18" t="s">
        <v>101</v>
      </c>
      <c r="C74" s="10"/>
      <c r="D74" s="1" t="s">
        <v>104</v>
      </c>
      <c r="E74" s="10" t="s">
        <v>33</v>
      </c>
      <c r="F74" s="11" t="str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/>
      </c>
      <c r="G74" s="10" t="s">
        <v>71</v>
      </c>
      <c r="H74" s="11" t="str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/>
      </c>
      <c r="I74" s="10" t="s">
        <v>33</v>
      </c>
      <c r="J74" s="11" t="str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/>
      </c>
      <c r="K74" s="10" t="s">
        <v>91</v>
      </c>
      <c r="L74" s="11" t="str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/>
      </c>
      <c r="M74" s="10" t="s">
        <v>49</v>
      </c>
      <c r="N74" s="11" t="str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/>
      </c>
      <c r="O74" s="10" t="s">
        <v>33</v>
      </c>
      <c r="P74" s="11" t="str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/>
      </c>
      <c r="Q74" s="10" t="s">
        <v>112</v>
      </c>
      <c r="R74" s="11" t="str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/>
      </c>
      <c r="S74" s="10" t="s">
        <v>43</v>
      </c>
      <c r="T74" s="11" t="str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/>
      </c>
      <c r="U74" s="10" t="s">
        <v>36</v>
      </c>
      <c r="V74" s="11" t="str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/>
      </c>
      <c r="W74" s="10" t="s">
        <v>33</v>
      </c>
      <c r="X74" s="11" t="str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/>
      </c>
      <c r="Y74" s="10" t="s">
        <v>33</v>
      </c>
      <c r="Z74" s="11" t="str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/>
      </c>
      <c r="AA74" s="10" t="s">
        <v>61</v>
      </c>
      <c r="AB74" s="11" t="str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/>
      </c>
      <c r="AC74" s="10" t="s">
        <v>34</v>
      </c>
      <c r="AD74" s="11" t="str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/>
      </c>
      <c r="AE74" s="10" t="s">
        <v>36</v>
      </c>
      <c r="AF74" s="11" t="str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/>
      </c>
      <c r="AG74" s="10" t="s">
        <v>36</v>
      </c>
      <c r="AH74" s="11" t="str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/>
      </c>
      <c r="AI74" s="10" t="s">
        <v>34</v>
      </c>
      <c r="AJ74" s="11" t="str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/>
      </c>
      <c r="AK74" s="10" t="s">
        <v>38</v>
      </c>
      <c r="AL74" s="11" t="str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/>
      </c>
      <c r="AM74" s="10" t="s">
        <v>49</v>
      </c>
      <c r="AN74" s="11" t="str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/>
      </c>
      <c r="AO74" s="10" t="s">
        <v>36</v>
      </c>
      <c r="AP74" s="11" t="str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/>
      </c>
      <c r="AQ74" s="10" t="s">
        <v>34</v>
      </c>
      <c r="AR74" s="11" t="str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/>
      </c>
      <c r="AS74" s="10" t="s">
        <v>36</v>
      </c>
      <c r="AT74" s="11" t="str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/>
      </c>
      <c r="AU74" s="10" t="s">
        <v>33</v>
      </c>
      <c r="AV74" s="11" t="str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/>
      </c>
      <c r="AW74" s="11" t="str">
        <f>IF($C74="","",IFERROR(--LEFT($C74,FIND("-",$C74)-1),""))</f>
        <v/>
      </c>
      <c r="AX74" s="11" t="str">
        <f>IF($C74="","",IFERROR(--MID($C74,FIND("-",$C74)+1,99),""))</f>
        <v/>
      </c>
    </row>
    <row r="75" spans="1:50" ht="18" customHeight="1" x14ac:dyDescent="0.2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00000000000001" customHeight="1" x14ac:dyDescent="0.25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4"/>
      <c r="AT76" s="34"/>
      <c r="AU76" s="35"/>
      <c r="AV76" s="36"/>
      <c r="AW76" s="8"/>
      <c r="AX76" s="8"/>
    </row>
    <row r="77" spans="1:50" ht="18" customHeight="1" x14ac:dyDescent="0.25">
      <c r="A77" s="9">
        <v>1.041666666666667</v>
      </c>
      <c r="B77" s="18" t="s">
        <v>105</v>
      </c>
      <c r="C77" s="10"/>
      <c r="D77" s="1" t="s">
        <v>102</v>
      </c>
      <c r="E77" s="10" t="s">
        <v>48</v>
      </c>
      <c r="F77" s="11" t="str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/>
      </c>
      <c r="G77" s="10" t="s">
        <v>56</v>
      </c>
      <c r="H77" s="11" t="str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/>
      </c>
      <c r="I77" s="10" t="s">
        <v>45</v>
      </c>
      <c r="J77" s="11" t="str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/>
      </c>
      <c r="K77" s="10" t="s">
        <v>56</v>
      </c>
      <c r="L77" s="11" t="str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/>
      </c>
      <c r="M77" s="10" t="s">
        <v>37</v>
      </c>
      <c r="N77" s="11" t="str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/>
      </c>
      <c r="O77" s="10" t="s">
        <v>48</v>
      </c>
      <c r="P77" s="11" t="str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/>
      </c>
      <c r="Q77" s="10" t="s">
        <v>56</v>
      </c>
      <c r="R77" s="11" t="str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/>
      </c>
      <c r="S77" s="10" t="s">
        <v>35</v>
      </c>
      <c r="T77" s="11" t="str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/>
      </c>
      <c r="U77" s="10" t="s">
        <v>48</v>
      </c>
      <c r="V77" s="11" t="str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/>
      </c>
      <c r="W77" s="10" t="s">
        <v>48</v>
      </c>
      <c r="X77" s="11" t="str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/>
      </c>
      <c r="Y77" s="10" t="s">
        <v>48</v>
      </c>
      <c r="Z77" s="11" t="str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/>
      </c>
      <c r="AA77" s="10" t="s">
        <v>48</v>
      </c>
      <c r="AB77" s="11" t="str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/>
      </c>
      <c r="AC77" s="28" t="s">
        <v>33</v>
      </c>
      <c r="AD77" s="11" t="str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/>
      </c>
      <c r="AE77" s="10" t="s">
        <v>48</v>
      </c>
      <c r="AF77" s="11" t="str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/>
      </c>
      <c r="AG77" s="10" t="s">
        <v>48</v>
      </c>
      <c r="AH77" s="11" t="str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/>
      </c>
      <c r="AI77" s="10" t="s">
        <v>56</v>
      </c>
      <c r="AJ77" s="11" t="str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/>
      </c>
      <c r="AK77" s="10" t="s">
        <v>48</v>
      </c>
      <c r="AL77" s="11" t="str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/>
      </c>
      <c r="AM77" s="10" t="s">
        <v>48</v>
      </c>
      <c r="AN77" s="11" t="str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/>
      </c>
      <c r="AO77" s="10" t="s">
        <v>37</v>
      </c>
      <c r="AP77" s="11" t="str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/>
      </c>
      <c r="AQ77" s="10" t="s">
        <v>35</v>
      </c>
      <c r="AR77" s="11" t="str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/>
      </c>
      <c r="AS77" s="10" t="s">
        <v>37</v>
      </c>
      <c r="AT77" s="11" t="str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/>
      </c>
      <c r="AU77" s="10" t="s">
        <v>45</v>
      </c>
      <c r="AV77" s="11" t="str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/>
      </c>
      <c r="AW77" s="11" t="str">
        <f>IF($C77="","",IFERROR(--LEFT($C77,FIND("-",$C77)-1),""))</f>
        <v/>
      </c>
      <c r="AX77" s="11" t="str">
        <f>IF($C77="","",IFERROR(--MID($C77,FIND("-",$C77)+1,99),""))</f>
        <v/>
      </c>
    </row>
    <row r="78" spans="1:50" ht="18" customHeight="1" x14ac:dyDescent="0.25">
      <c r="A78" s="9">
        <v>1.166666666666667</v>
      </c>
      <c r="B78" s="18" t="s">
        <v>108</v>
      </c>
      <c r="C78" s="10"/>
      <c r="D78" s="1" t="s">
        <v>100</v>
      </c>
      <c r="E78" s="10" t="s">
        <v>33</v>
      </c>
      <c r="F78" s="11" t="str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/>
      </c>
      <c r="G78" s="10" t="s">
        <v>33</v>
      </c>
      <c r="H78" s="11" t="str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/>
      </c>
      <c r="I78" s="10" t="s">
        <v>33</v>
      </c>
      <c r="J78" s="11" t="str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/>
      </c>
      <c r="K78" s="10" t="s">
        <v>33</v>
      </c>
      <c r="L78" s="11" t="str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/>
      </c>
      <c r="M78" s="10" t="s">
        <v>35</v>
      </c>
      <c r="N78" s="11" t="str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/>
      </c>
      <c r="O78" s="10" t="s">
        <v>38</v>
      </c>
      <c r="P78" s="11" t="str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/>
      </c>
      <c r="Q78" s="10" t="s">
        <v>33</v>
      </c>
      <c r="R78" s="11" t="str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/>
      </c>
      <c r="S78" s="10" t="s">
        <v>49</v>
      </c>
      <c r="T78" s="11" t="str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/>
      </c>
      <c r="U78" s="10" t="s">
        <v>33</v>
      </c>
      <c r="V78" s="11" t="str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/>
      </c>
      <c r="W78" s="10" t="s">
        <v>33</v>
      </c>
      <c r="X78" s="11" t="str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/>
      </c>
      <c r="Y78" s="10" t="s">
        <v>35</v>
      </c>
      <c r="Z78" s="11" t="str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/>
      </c>
      <c r="AA78" s="10" t="s">
        <v>37</v>
      </c>
      <c r="AB78" s="11" t="str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/>
      </c>
      <c r="AC78" s="28" t="s">
        <v>49</v>
      </c>
      <c r="AD78" s="11" t="str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/>
      </c>
      <c r="AE78" s="10" t="s">
        <v>36</v>
      </c>
      <c r="AF78" s="11" t="str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/>
      </c>
      <c r="AG78" s="10" t="s">
        <v>36</v>
      </c>
      <c r="AH78" s="11" t="str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/>
      </c>
      <c r="AI78" s="10" t="s">
        <v>39</v>
      </c>
      <c r="AJ78" s="11" t="str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/>
      </c>
      <c r="AK78" s="10" t="s">
        <v>36</v>
      </c>
      <c r="AL78" s="11" t="str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/>
      </c>
      <c r="AM78" s="10" t="s">
        <v>45</v>
      </c>
      <c r="AN78" s="11" t="str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/>
      </c>
      <c r="AO78" s="10" t="s">
        <v>36</v>
      </c>
      <c r="AP78" s="11" t="str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/>
      </c>
      <c r="AQ78" s="10" t="s">
        <v>33</v>
      </c>
      <c r="AR78" s="11" t="str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/>
      </c>
      <c r="AS78" s="10" t="s">
        <v>39</v>
      </c>
      <c r="AT78" s="11" t="str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/>
      </c>
      <c r="AU78" s="10" t="s">
        <v>36</v>
      </c>
      <c r="AV78" s="11" t="str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/>
      </c>
      <c r="AW78" s="11" t="str">
        <f>IF($C78="","",IFERROR(--LEFT($C78,FIND("-",$C78)-1),""))</f>
        <v/>
      </c>
      <c r="AX78" s="11" t="str">
        <f>IF($C78="","",IFERROR(--MID($C78,FIND("-",$C78)+1,99),""))</f>
        <v/>
      </c>
    </row>
    <row r="79" spans="1:50" ht="18" customHeight="1" x14ac:dyDescent="0.25">
      <c r="A79" s="9">
        <v>1.875</v>
      </c>
      <c r="B79" s="18" t="s">
        <v>55</v>
      </c>
      <c r="C79" s="10"/>
      <c r="D79" s="1" t="s">
        <v>46</v>
      </c>
      <c r="E79" s="10" t="s">
        <v>35</v>
      </c>
      <c r="F79" s="11" t="str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/>
      </c>
      <c r="G79" s="10" t="s">
        <v>35</v>
      </c>
      <c r="H79" s="11" t="str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/>
      </c>
      <c r="I79" s="10" t="s">
        <v>36</v>
      </c>
      <c r="J79" s="11" t="str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/>
      </c>
      <c r="K79" s="10" t="s">
        <v>37</v>
      </c>
      <c r="L79" s="11" t="str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/>
      </c>
      <c r="M79" s="10" t="s">
        <v>33</v>
      </c>
      <c r="N79" s="11" t="str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/>
      </c>
      <c r="O79" s="10" t="s">
        <v>33</v>
      </c>
      <c r="P79" s="11" t="str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/>
      </c>
      <c r="Q79" s="10" t="s">
        <v>49</v>
      </c>
      <c r="R79" s="11" t="str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/>
      </c>
      <c r="S79" s="10" t="s">
        <v>37</v>
      </c>
      <c r="T79" s="11" t="str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/>
      </c>
      <c r="U79" s="10" t="s">
        <v>35</v>
      </c>
      <c r="V79" s="11" t="str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/>
      </c>
      <c r="W79" s="10" t="s">
        <v>35</v>
      </c>
      <c r="X79" s="11" t="str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/>
      </c>
      <c r="Y79" s="10" t="s">
        <v>35</v>
      </c>
      <c r="Z79" s="11" t="str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/>
      </c>
      <c r="AA79" s="10" t="s">
        <v>35</v>
      </c>
      <c r="AB79" s="11" t="str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/>
      </c>
      <c r="AC79" s="28" t="s">
        <v>49</v>
      </c>
      <c r="AD79" s="11" t="str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/>
      </c>
      <c r="AE79" s="10" t="s">
        <v>33</v>
      </c>
      <c r="AF79" s="11" t="str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/>
      </c>
      <c r="AG79" s="10" t="s">
        <v>39</v>
      </c>
      <c r="AH79" s="11" t="str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/>
      </c>
      <c r="AI79" s="10" t="s">
        <v>35</v>
      </c>
      <c r="AJ79" s="11" t="str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/>
      </c>
      <c r="AK79" s="10" t="s">
        <v>33</v>
      </c>
      <c r="AL79" s="11" t="str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/>
      </c>
      <c r="AM79" s="10" t="s">
        <v>34</v>
      </c>
      <c r="AN79" s="11" t="str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/>
      </c>
      <c r="AO79" s="10" t="s">
        <v>33</v>
      </c>
      <c r="AP79" s="11" t="str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/>
      </c>
      <c r="AQ79" s="10" t="s">
        <v>49</v>
      </c>
      <c r="AR79" s="11" t="str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/>
      </c>
      <c r="AS79" s="10" t="s">
        <v>39</v>
      </c>
      <c r="AT79" s="11" t="str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/>
      </c>
      <c r="AU79" s="10" t="s">
        <v>35</v>
      </c>
      <c r="AV79" s="11" t="str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/>
      </c>
      <c r="AW79" s="11" t="str">
        <f>IF($C79="","",IFERROR(--LEFT($C79,FIND("-",$C79)-1),""))</f>
        <v/>
      </c>
      <c r="AX79" s="11" t="str">
        <f>IF($C79="","",IFERROR(--MID($C79,FIND("-",$C79)+1,99),""))</f>
        <v/>
      </c>
    </row>
    <row r="80" spans="1:50" ht="18" customHeight="1" x14ac:dyDescent="0.25">
      <c r="A80" s="9">
        <v>1.875</v>
      </c>
      <c r="B80" s="18" t="s">
        <v>47</v>
      </c>
      <c r="C80" s="10"/>
      <c r="D80" s="1" t="s">
        <v>54</v>
      </c>
      <c r="E80" s="10" t="s">
        <v>33</v>
      </c>
      <c r="F80" s="11" t="str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/>
      </c>
      <c r="G80" s="10" t="s">
        <v>35</v>
      </c>
      <c r="H80" s="11" t="str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/>
      </c>
      <c r="I80" s="10" t="s">
        <v>39</v>
      </c>
      <c r="J80" s="11" t="str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/>
      </c>
      <c r="K80" s="10" t="s">
        <v>35</v>
      </c>
      <c r="L80" s="11" t="str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/>
      </c>
      <c r="M80" s="10" t="s">
        <v>36</v>
      </c>
      <c r="N80" s="11" t="str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/>
      </c>
      <c r="O80" s="10" t="s">
        <v>36</v>
      </c>
      <c r="P80" s="11" t="str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/>
      </c>
      <c r="Q80" s="10" t="s">
        <v>38</v>
      </c>
      <c r="R80" s="11" t="str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/>
      </c>
      <c r="S80" s="10" t="s">
        <v>35</v>
      </c>
      <c r="T80" s="11" t="str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/>
      </c>
      <c r="U80" s="10" t="s">
        <v>36</v>
      </c>
      <c r="V80" s="11" t="str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/>
      </c>
      <c r="W80" s="10" t="s">
        <v>39</v>
      </c>
      <c r="X80" s="11" t="str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/>
      </c>
      <c r="Y80" s="10" t="s">
        <v>33</v>
      </c>
      <c r="Z80" s="11" t="str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/>
      </c>
      <c r="AA80" s="10" t="s">
        <v>38</v>
      </c>
      <c r="AB80" s="11" t="str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/>
      </c>
      <c r="AC80" s="28" t="s">
        <v>34</v>
      </c>
      <c r="AD80" s="11" t="str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/>
      </c>
      <c r="AE80" s="10" t="s">
        <v>36</v>
      </c>
      <c r="AF80" s="11" t="str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/>
      </c>
      <c r="AG80" s="10" t="s">
        <v>33</v>
      </c>
      <c r="AH80" s="11" t="str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/>
      </c>
      <c r="AI80" s="10" t="s">
        <v>35</v>
      </c>
      <c r="AJ80" s="11" t="str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/>
      </c>
      <c r="AK80" s="10" t="s">
        <v>33</v>
      </c>
      <c r="AL80" s="11" t="str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/>
      </c>
      <c r="AM80" s="10" t="s">
        <v>36</v>
      </c>
      <c r="AN80" s="11" t="str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/>
      </c>
      <c r="AO80" s="10" t="s">
        <v>35</v>
      </c>
      <c r="AP80" s="11" t="str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/>
      </c>
      <c r="AQ80" s="10" t="s">
        <v>61</v>
      </c>
      <c r="AR80" s="11" t="str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/>
      </c>
      <c r="AS80" s="10" t="s">
        <v>50</v>
      </c>
      <c r="AT80" s="11" t="str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/>
      </c>
      <c r="AU80" s="10" t="s">
        <v>50</v>
      </c>
      <c r="AV80" s="11" t="str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/>
      </c>
      <c r="AW80" s="11" t="str">
        <f>IF($C80="","",IFERROR(--LEFT($C80,FIND("-",$C80)-1),""))</f>
        <v/>
      </c>
      <c r="AX80" s="11" t="str">
        <f>IF($C80="","",IFERROR(--MID($C80,FIND("-",$C80)+1,99),""))</f>
        <v/>
      </c>
    </row>
    <row r="81" spans="1:50" ht="18" customHeight="1" x14ac:dyDescent="0.2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00000000000001" customHeight="1" x14ac:dyDescent="0.25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4"/>
      <c r="AT82" s="34"/>
      <c r="AU82" s="35"/>
      <c r="AV82" s="36"/>
      <c r="AW82" s="8"/>
      <c r="AX82" s="8"/>
    </row>
    <row r="83" spans="1:50" ht="18" customHeight="1" x14ac:dyDescent="0.25">
      <c r="A83" s="9">
        <v>1</v>
      </c>
      <c r="B83" s="18" t="s">
        <v>65</v>
      </c>
      <c r="C83" s="10"/>
      <c r="D83" s="1" t="s">
        <v>59</v>
      </c>
      <c r="E83" s="10" t="s">
        <v>56</v>
      </c>
      <c r="F83" s="11" t="str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/>
      </c>
      <c r="G83" s="10" t="s">
        <v>39</v>
      </c>
      <c r="H83" s="11" t="str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/>
      </c>
      <c r="I83" s="10" t="s">
        <v>48</v>
      </c>
      <c r="J83" s="11" t="str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/>
      </c>
      <c r="K83" s="10" t="s">
        <v>33</v>
      </c>
      <c r="L83" s="11" t="str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/>
      </c>
      <c r="M83" s="10" t="s">
        <v>33</v>
      </c>
      <c r="N83" s="11" t="str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/>
      </c>
      <c r="O83" s="10" t="s">
        <v>57</v>
      </c>
      <c r="P83" s="11" t="str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/>
      </c>
      <c r="Q83" s="10" t="s">
        <v>49</v>
      </c>
      <c r="R83" s="11" t="str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/>
      </c>
      <c r="S83" s="10" t="s">
        <v>115</v>
      </c>
      <c r="T83" s="11" t="str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/>
      </c>
      <c r="U83" s="10" t="s">
        <v>48</v>
      </c>
      <c r="V83" s="11" t="str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/>
      </c>
      <c r="W83" s="10" t="s">
        <v>37</v>
      </c>
      <c r="X83" s="11" t="str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/>
      </c>
      <c r="Y83" s="10" t="s">
        <v>48</v>
      </c>
      <c r="Z83" s="11" t="str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/>
      </c>
      <c r="AA83" s="10" t="s">
        <v>33</v>
      </c>
      <c r="AB83" s="11" t="str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/>
      </c>
      <c r="AC83" s="28" t="s">
        <v>45</v>
      </c>
      <c r="AD83" s="11" t="str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/>
      </c>
      <c r="AE83" s="10" t="s">
        <v>48</v>
      </c>
      <c r="AF83" s="11" t="str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/>
      </c>
      <c r="AG83" s="10" t="s">
        <v>48</v>
      </c>
      <c r="AH83" s="11" t="str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/>
      </c>
      <c r="AI83" s="10" t="s">
        <v>57</v>
      </c>
      <c r="AJ83" s="11" t="str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/>
      </c>
      <c r="AK83" s="10" t="s">
        <v>48</v>
      </c>
      <c r="AL83" s="11" t="str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/>
      </c>
      <c r="AM83" s="10" t="s">
        <v>37</v>
      </c>
      <c r="AN83" s="11" t="str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/>
      </c>
      <c r="AO83" s="10" t="s">
        <v>57</v>
      </c>
      <c r="AP83" s="11" t="str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/>
      </c>
      <c r="AQ83" s="10" t="s">
        <v>35</v>
      </c>
      <c r="AR83" s="11" t="str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/>
      </c>
      <c r="AS83" s="10" t="s">
        <v>115</v>
      </c>
      <c r="AT83" s="11" t="str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/>
      </c>
      <c r="AU83" s="10" t="s">
        <v>56</v>
      </c>
      <c r="AV83" s="11" t="str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/>
      </c>
      <c r="AW83" s="11" t="str">
        <f t="shared" ref="AW83:AW88" si="28">IF($C83="","",IFERROR(--LEFT($C83,FIND("-",$C83)-1),""))</f>
        <v/>
      </c>
      <c r="AX83" s="11" t="str">
        <f t="shared" ref="AX83:AX88" si="29">IF($C83="","",IFERROR(--MID($C83,FIND("-",$C83)+1,99),""))</f>
        <v/>
      </c>
    </row>
    <row r="84" spans="1:50" ht="18" customHeight="1" x14ac:dyDescent="0.25">
      <c r="A84" s="9">
        <v>1</v>
      </c>
      <c r="B84" s="18" t="s">
        <v>60</v>
      </c>
      <c r="C84" s="10"/>
      <c r="D84" s="1" t="s">
        <v>64</v>
      </c>
      <c r="E84" s="10" t="s">
        <v>38</v>
      </c>
      <c r="F84" s="11" t="str">
        <f t="shared" si="6"/>
        <v/>
      </c>
      <c r="G84" s="10" t="s">
        <v>38</v>
      </c>
      <c r="H84" s="11" t="str">
        <f t="shared" si="7"/>
        <v/>
      </c>
      <c r="I84" s="10" t="s">
        <v>33</v>
      </c>
      <c r="J84" s="11" t="str">
        <f t="shared" si="8"/>
        <v/>
      </c>
      <c r="K84" s="10" t="s">
        <v>113</v>
      </c>
      <c r="L84" s="11" t="str">
        <f t="shared" si="9"/>
        <v/>
      </c>
      <c r="M84" s="10" t="s">
        <v>38</v>
      </c>
      <c r="N84" s="11" t="str">
        <f t="shared" si="10"/>
        <v/>
      </c>
      <c r="O84" s="10" t="s">
        <v>36</v>
      </c>
      <c r="P84" s="11" t="str">
        <f t="shared" si="11"/>
        <v/>
      </c>
      <c r="Q84" s="10" t="s">
        <v>34</v>
      </c>
      <c r="R84" s="11" t="str">
        <f t="shared" si="12"/>
        <v/>
      </c>
      <c r="S84" s="10" t="s">
        <v>37</v>
      </c>
      <c r="T84" s="11" t="str">
        <f t="shared" si="13"/>
        <v/>
      </c>
      <c r="U84" s="10" t="s">
        <v>36</v>
      </c>
      <c r="V84" s="11" t="str">
        <f t="shared" si="14"/>
        <v/>
      </c>
      <c r="W84" s="10" t="s">
        <v>36</v>
      </c>
      <c r="X84" s="11" t="str">
        <f t="shared" si="15"/>
        <v/>
      </c>
      <c r="Y84" s="10" t="s">
        <v>36</v>
      </c>
      <c r="Z84" s="11" t="str">
        <f t="shared" si="16"/>
        <v/>
      </c>
      <c r="AA84" s="10" t="s">
        <v>38</v>
      </c>
      <c r="AB84" s="11" t="str">
        <f t="shared" si="17"/>
        <v/>
      </c>
      <c r="AC84" s="28" t="s">
        <v>61</v>
      </c>
      <c r="AD84" s="11" t="str">
        <f t="shared" si="18"/>
        <v/>
      </c>
      <c r="AE84" s="10" t="s">
        <v>36</v>
      </c>
      <c r="AF84" s="11" t="str">
        <f t="shared" si="19"/>
        <v/>
      </c>
      <c r="AG84" s="10" t="s">
        <v>38</v>
      </c>
      <c r="AH84" s="11" t="str">
        <f t="shared" si="20"/>
        <v/>
      </c>
      <c r="AI84" s="10" t="s">
        <v>36</v>
      </c>
      <c r="AJ84" s="11" t="str">
        <f t="shared" si="21"/>
        <v/>
      </c>
      <c r="AK84" s="10" t="s">
        <v>36</v>
      </c>
      <c r="AL84" s="11" t="str">
        <f t="shared" si="22"/>
        <v/>
      </c>
      <c r="AM84" s="10" t="s">
        <v>39</v>
      </c>
      <c r="AN84" s="11" t="str">
        <f t="shared" si="23"/>
        <v/>
      </c>
      <c r="AO84" s="10" t="s">
        <v>36</v>
      </c>
      <c r="AP84" s="11" t="str">
        <f t="shared" si="24"/>
        <v/>
      </c>
      <c r="AQ84" s="10" t="s">
        <v>33</v>
      </c>
      <c r="AR84" s="11" t="str">
        <f t="shared" si="25"/>
        <v/>
      </c>
      <c r="AS84" s="10" t="s">
        <v>36</v>
      </c>
      <c r="AT84" s="11" t="str">
        <f t="shared" si="26"/>
        <v/>
      </c>
      <c r="AU84" s="10" t="s">
        <v>36</v>
      </c>
      <c r="AV84" s="11" t="str">
        <f t="shared" si="27"/>
        <v/>
      </c>
      <c r="AW84" s="11" t="str">
        <f t="shared" si="28"/>
        <v/>
      </c>
      <c r="AX84" s="11" t="str">
        <f t="shared" si="29"/>
        <v/>
      </c>
    </row>
    <row r="85" spans="1:50" ht="18" customHeight="1" x14ac:dyDescent="0.25">
      <c r="A85" s="9">
        <v>1.125</v>
      </c>
      <c r="B85" s="18" t="s">
        <v>42</v>
      </c>
      <c r="C85" s="10"/>
      <c r="D85" s="1" t="s">
        <v>31</v>
      </c>
      <c r="E85" s="10" t="s">
        <v>35</v>
      </c>
      <c r="F85" s="11" t="str">
        <f t="shared" si="6"/>
        <v/>
      </c>
      <c r="G85" s="10" t="s">
        <v>48</v>
      </c>
      <c r="H85" s="11" t="str">
        <f t="shared" si="7"/>
        <v/>
      </c>
      <c r="I85" s="10" t="s">
        <v>37</v>
      </c>
      <c r="J85" s="11" t="str">
        <f t="shared" si="8"/>
        <v/>
      </c>
      <c r="K85" s="10" t="s">
        <v>120</v>
      </c>
      <c r="L85" s="11" t="str">
        <f t="shared" si="9"/>
        <v/>
      </c>
      <c r="M85" s="10" t="s">
        <v>37</v>
      </c>
      <c r="N85" s="11" t="str">
        <f t="shared" si="10"/>
        <v/>
      </c>
      <c r="O85" s="10" t="s">
        <v>35</v>
      </c>
      <c r="P85" s="11" t="str">
        <f t="shared" si="11"/>
        <v/>
      </c>
      <c r="Q85" s="10" t="s">
        <v>49</v>
      </c>
      <c r="R85" s="11" t="str">
        <f t="shared" si="12"/>
        <v/>
      </c>
      <c r="S85" s="10" t="s">
        <v>56</v>
      </c>
      <c r="T85" s="11" t="str">
        <f t="shared" si="13"/>
        <v/>
      </c>
      <c r="U85" s="10" t="s">
        <v>37</v>
      </c>
      <c r="V85" s="11" t="str">
        <f t="shared" si="14"/>
        <v/>
      </c>
      <c r="W85" s="10" t="s">
        <v>37</v>
      </c>
      <c r="X85" s="11" t="str">
        <f t="shared" si="15"/>
        <v/>
      </c>
      <c r="Y85" s="10" t="s">
        <v>35</v>
      </c>
      <c r="Z85" s="11" t="str">
        <f t="shared" si="16"/>
        <v/>
      </c>
      <c r="AA85" s="10" t="s">
        <v>37</v>
      </c>
      <c r="AB85" s="11" t="str">
        <f t="shared" si="17"/>
        <v/>
      </c>
      <c r="AC85" s="28" t="s">
        <v>61</v>
      </c>
      <c r="AD85" s="11" t="str">
        <f t="shared" si="18"/>
        <v/>
      </c>
      <c r="AE85" s="10" t="s">
        <v>35</v>
      </c>
      <c r="AF85" s="11" t="str">
        <f t="shared" si="19"/>
        <v/>
      </c>
      <c r="AG85" s="10" t="s">
        <v>37</v>
      </c>
      <c r="AH85" s="11" t="str">
        <f t="shared" si="20"/>
        <v/>
      </c>
      <c r="AI85" s="10" t="s">
        <v>33</v>
      </c>
      <c r="AJ85" s="11" t="str">
        <f t="shared" si="21"/>
        <v/>
      </c>
      <c r="AK85" s="10" t="s">
        <v>37</v>
      </c>
      <c r="AL85" s="11" t="str">
        <f t="shared" si="22"/>
        <v/>
      </c>
      <c r="AM85" s="10" t="s">
        <v>37</v>
      </c>
      <c r="AN85" s="11" t="str">
        <f t="shared" si="23"/>
        <v/>
      </c>
      <c r="AO85" s="10" t="s">
        <v>57</v>
      </c>
      <c r="AP85" s="11" t="str">
        <f t="shared" si="24"/>
        <v/>
      </c>
      <c r="AQ85" s="10" t="s">
        <v>49</v>
      </c>
      <c r="AR85" s="11" t="str">
        <f t="shared" si="25"/>
        <v/>
      </c>
      <c r="AS85" s="10" t="s">
        <v>35</v>
      </c>
      <c r="AT85" s="11" t="str">
        <f t="shared" si="26"/>
        <v/>
      </c>
      <c r="AU85" s="10" t="s">
        <v>57</v>
      </c>
      <c r="AV85" s="11" t="str">
        <f t="shared" si="27"/>
        <v/>
      </c>
      <c r="AW85" s="11" t="str">
        <f t="shared" si="28"/>
        <v/>
      </c>
      <c r="AX85" s="11" t="str">
        <f t="shared" si="29"/>
        <v/>
      </c>
    </row>
    <row r="86" spans="1:50" ht="18" customHeight="1" x14ac:dyDescent="0.25">
      <c r="A86" s="9">
        <v>1.125</v>
      </c>
      <c r="B86" s="18" t="s">
        <v>32</v>
      </c>
      <c r="C86" s="10"/>
      <c r="D86" s="1" t="s">
        <v>41</v>
      </c>
      <c r="E86" s="10" t="s">
        <v>37</v>
      </c>
      <c r="F86" s="11" t="str">
        <f t="shared" si="6"/>
        <v/>
      </c>
      <c r="G86" s="10" t="s">
        <v>57</v>
      </c>
      <c r="H86" s="11" t="str">
        <f t="shared" si="7"/>
        <v/>
      </c>
      <c r="I86" s="10" t="s">
        <v>50</v>
      </c>
      <c r="J86" s="11" t="str">
        <f t="shared" si="8"/>
        <v/>
      </c>
      <c r="K86" s="10" t="s">
        <v>49</v>
      </c>
      <c r="L86" s="11" t="str">
        <f t="shared" si="9"/>
        <v/>
      </c>
      <c r="M86" s="10" t="s">
        <v>37</v>
      </c>
      <c r="N86" s="11" t="str">
        <f t="shared" si="10"/>
        <v/>
      </c>
      <c r="O86" s="10" t="s">
        <v>49</v>
      </c>
      <c r="P86" s="11" t="str">
        <f t="shared" si="11"/>
        <v/>
      </c>
      <c r="Q86" s="10" t="s">
        <v>49</v>
      </c>
      <c r="R86" s="11" t="str">
        <f t="shared" si="12"/>
        <v/>
      </c>
      <c r="S86" s="10" t="s">
        <v>35</v>
      </c>
      <c r="T86" s="11" t="str">
        <f t="shared" si="13"/>
        <v/>
      </c>
      <c r="U86" s="10" t="s">
        <v>45</v>
      </c>
      <c r="V86" s="11" t="str">
        <f t="shared" si="14"/>
        <v/>
      </c>
      <c r="W86" s="10" t="s">
        <v>45</v>
      </c>
      <c r="X86" s="11" t="str">
        <f t="shared" si="15"/>
        <v/>
      </c>
      <c r="Y86" s="10" t="s">
        <v>48</v>
      </c>
      <c r="Z86" s="11" t="str">
        <f t="shared" si="16"/>
        <v/>
      </c>
      <c r="AA86" s="10" t="s">
        <v>37</v>
      </c>
      <c r="AB86" s="11" t="str">
        <f t="shared" si="17"/>
        <v/>
      </c>
      <c r="AC86" s="28" t="s">
        <v>33</v>
      </c>
      <c r="AD86" s="11" t="str">
        <f t="shared" si="18"/>
        <v/>
      </c>
      <c r="AE86" s="10" t="s">
        <v>35</v>
      </c>
      <c r="AF86" s="11" t="str">
        <f t="shared" si="19"/>
        <v/>
      </c>
      <c r="AG86" s="10" t="s">
        <v>45</v>
      </c>
      <c r="AH86" s="11" t="str">
        <f t="shared" si="20"/>
        <v/>
      </c>
      <c r="AI86" s="10" t="s">
        <v>35</v>
      </c>
      <c r="AJ86" s="11" t="str">
        <f t="shared" si="21"/>
        <v/>
      </c>
      <c r="AK86" s="10" t="s">
        <v>35</v>
      </c>
      <c r="AL86" s="11" t="str">
        <f t="shared" si="22"/>
        <v/>
      </c>
      <c r="AM86" s="10" t="s">
        <v>45</v>
      </c>
      <c r="AN86" s="11" t="str">
        <f t="shared" si="23"/>
        <v/>
      </c>
      <c r="AO86" s="10" t="s">
        <v>35</v>
      </c>
      <c r="AP86" s="11" t="str">
        <f t="shared" si="24"/>
        <v/>
      </c>
      <c r="AQ86" s="10" t="s">
        <v>37</v>
      </c>
      <c r="AR86" s="11" t="str">
        <f t="shared" si="25"/>
        <v/>
      </c>
      <c r="AS86" s="10" t="s">
        <v>37</v>
      </c>
      <c r="AT86" s="11" t="str">
        <f t="shared" si="26"/>
        <v/>
      </c>
      <c r="AU86" s="10" t="s">
        <v>48</v>
      </c>
      <c r="AV86" s="11" t="str">
        <f t="shared" si="27"/>
        <v/>
      </c>
      <c r="AW86" s="11" t="str">
        <f t="shared" si="28"/>
        <v/>
      </c>
      <c r="AX86" s="11" t="str">
        <f t="shared" si="29"/>
        <v/>
      </c>
    </row>
    <row r="87" spans="1:50" ht="18" customHeight="1" x14ac:dyDescent="0.25">
      <c r="A87" s="9">
        <v>1.916666666666667</v>
      </c>
      <c r="B87" s="18" t="s">
        <v>70</v>
      </c>
      <c r="C87" s="10"/>
      <c r="D87" s="1" t="s">
        <v>76</v>
      </c>
      <c r="E87" s="10" t="s">
        <v>48</v>
      </c>
      <c r="F87" s="11" t="str">
        <f t="shared" si="6"/>
        <v/>
      </c>
      <c r="G87" s="10" t="s">
        <v>35</v>
      </c>
      <c r="H87" s="11" t="str">
        <f t="shared" si="7"/>
        <v/>
      </c>
      <c r="I87" s="10" t="s">
        <v>56</v>
      </c>
      <c r="J87" s="11" t="str">
        <f t="shared" si="8"/>
        <v/>
      </c>
      <c r="K87" s="10" t="s">
        <v>35</v>
      </c>
      <c r="L87" s="11" t="str">
        <f t="shared" si="9"/>
        <v/>
      </c>
      <c r="M87" s="10" t="s">
        <v>49</v>
      </c>
      <c r="N87" s="11" t="str">
        <f t="shared" si="10"/>
        <v/>
      </c>
      <c r="O87" s="10" t="s">
        <v>48</v>
      </c>
      <c r="P87" s="11" t="str">
        <f t="shared" si="11"/>
        <v/>
      </c>
      <c r="Q87" s="10" t="s">
        <v>35</v>
      </c>
      <c r="R87" s="11" t="str">
        <f t="shared" si="12"/>
        <v/>
      </c>
      <c r="S87" s="10" t="s">
        <v>37</v>
      </c>
      <c r="T87" s="11" t="str">
        <f t="shared" si="13"/>
        <v/>
      </c>
      <c r="U87" s="10" t="s">
        <v>48</v>
      </c>
      <c r="V87" s="11" t="str">
        <f t="shared" si="14"/>
        <v/>
      </c>
      <c r="W87" s="10" t="s">
        <v>48</v>
      </c>
      <c r="X87" s="11" t="str">
        <f t="shared" si="15"/>
        <v/>
      </c>
      <c r="Y87" s="10" t="s">
        <v>37</v>
      </c>
      <c r="Z87" s="11" t="str">
        <f t="shared" si="16"/>
        <v/>
      </c>
      <c r="AA87" s="10" t="s">
        <v>57</v>
      </c>
      <c r="AB87" s="11" t="str">
        <f t="shared" si="17"/>
        <v/>
      </c>
      <c r="AC87" s="28" t="s">
        <v>49</v>
      </c>
      <c r="AD87" s="11" t="str">
        <f t="shared" si="18"/>
        <v/>
      </c>
      <c r="AE87" s="10" t="s">
        <v>48</v>
      </c>
      <c r="AF87" s="11" t="str">
        <f t="shared" si="19"/>
        <v/>
      </c>
      <c r="AG87" s="10" t="s">
        <v>48</v>
      </c>
      <c r="AH87" s="11" t="str">
        <f t="shared" si="20"/>
        <v/>
      </c>
      <c r="AI87" s="10" t="s">
        <v>50</v>
      </c>
      <c r="AJ87" s="11" t="str">
        <f t="shared" si="21"/>
        <v/>
      </c>
      <c r="AK87" s="10" t="s">
        <v>48</v>
      </c>
      <c r="AL87" s="11" t="str">
        <f t="shared" si="22"/>
        <v/>
      </c>
      <c r="AM87" s="10" t="s">
        <v>48</v>
      </c>
      <c r="AN87" s="11" t="str">
        <f t="shared" si="23"/>
        <v/>
      </c>
      <c r="AO87" s="10" t="s">
        <v>57</v>
      </c>
      <c r="AP87" s="11" t="str">
        <f t="shared" si="24"/>
        <v/>
      </c>
      <c r="AQ87" s="10" t="s">
        <v>57</v>
      </c>
      <c r="AR87" s="11" t="str">
        <f t="shared" si="25"/>
        <v/>
      </c>
      <c r="AS87" s="10" t="s">
        <v>36</v>
      </c>
      <c r="AT87" s="11" t="str">
        <f t="shared" si="26"/>
        <v/>
      </c>
      <c r="AU87" s="10" t="s">
        <v>39</v>
      </c>
      <c r="AV87" s="11" t="str">
        <f t="shared" si="27"/>
        <v/>
      </c>
      <c r="AW87" s="11" t="str">
        <f t="shared" si="28"/>
        <v/>
      </c>
      <c r="AX87" s="11" t="str">
        <f t="shared" si="29"/>
        <v/>
      </c>
    </row>
    <row r="88" spans="1:50" ht="18" customHeight="1" x14ac:dyDescent="0.25">
      <c r="A88" s="9">
        <v>1.916666666666667</v>
      </c>
      <c r="B88" s="18" t="s">
        <v>77</v>
      </c>
      <c r="C88" s="10"/>
      <c r="D88" s="1" t="s">
        <v>69</v>
      </c>
      <c r="E88" s="10" t="s">
        <v>37</v>
      </c>
      <c r="F88" s="11" t="str">
        <f t="shared" si="6"/>
        <v/>
      </c>
      <c r="G88" s="10" t="s">
        <v>48</v>
      </c>
      <c r="H88" s="11" t="str">
        <f t="shared" si="7"/>
        <v/>
      </c>
      <c r="I88" s="10" t="s">
        <v>45</v>
      </c>
      <c r="J88" s="11" t="str">
        <f t="shared" si="8"/>
        <v/>
      </c>
      <c r="K88" s="10" t="s">
        <v>121</v>
      </c>
      <c r="L88" s="11" t="str">
        <f t="shared" si="9"/>
        <v/>
      </c>
      <c r="M88" s="10" t="s">
        <v>57</v>
      </c>
      <c r="N88" s="11" t="str">
        <f t="shared" si="10"/>
        <v/>
      </c>
      <c r="O88" s="10" t="s">
        <v>44</v>
      </c>
      <c r="P88" s="11" t="str">
        <f t="shared" si="11"/>
        <v/>
      </c>
      <c r="Q88" s="10" t="s">
        <v>115</v>
      </c>
      <c r="R88" s="11" t="str">
        <f t="shared" si="12"/>
        <v/>
      </c>
      <c r="S88" s="10" t="s">
        <v>66</v>
      </c>
      <c r="T88" s="11" t="str">
        <f t="shared" si="13"/>
        <v/>
      </c>
      <c r="U88" s="10" t="s">
        <v>48</v>
      </c>
      <c r="V88" s="11" t="str">
        <f t="shared" si="14"/>
        <v/>
      </c>
      <c r="W88" s="10" t="s">
        <v>48</v>
      </c>
      <c r="X88" s="11" t="str">
        <f t="shared" si="15"/>
        <v/>
      </c>
      <c r="Y88" s="10" t="s">
        <v>35</v>
      </c>
      <c r="Z88" s="11" t="str">
        <f t="shared" si="16"/>
        <v/>
      </c>
      <c r="AA88" s="10" t="s">
        <v>45</v>
      </c>
      <c r="AB88" s="11" t="str">
        <f t="shared" si="17"/>
        <v/>
      </c>
      <c r="AC88" s="28" t="s">
        <v>35</v>
      </c>
      <c r="AD88" s="11" t="str">
        <f t="shared" si="18"/>
        <v/>
      </c>
      <c r="AE88" s="10" t="s">
        <v>37</v>
      </c>
      <c r="AF88" s="11" t="str">
        <f t="shared" si="19"/>
        <v/>
      </c>
      <c r="AG88" s="10" t="s">
        <v>37</v>
      </c>
      <c r="AH88" s="11" t="str">
        <f t="shared" si="20"/>
        <v/>
      </c>
      <c r="AI88" s="10" t="s">
        <v>121</v>
      </c>
      <c r="AJ88" s="11" t="str">
        <f t="shared" si="21"/>
        <v/>
      </c>
      <c r="AK88" s="10" t="s">
        <v>37</v>
      </c>
      <c r="AL88" s="11" t="str">
        <f t="shared" si="22"/>
        <v/>
      </c>
      <c r="AM88" s="10" t="s">
        <v>37</v>
      </c>
      <c r="AN88" s="11" t="str">
        <f t="shared" si="23"/>
        <v/>
      </c>
      <c r="AO88" s="10" t="s">
        <v>35</v>
      </c>
      <c r="AP88" s="11" t="str">
        <f t="shared" si="24"/>
        <v/>
      </c>
      <c r="AQ88" s="10" t="s">
        <v>37</v>
      </c>
      <c r="AR88" s="11" t="str">
        <f t="shared" si="25"/>
        <v/>
      </c>
      <c r="AS88" s="10" t="s">
        <v>44</v>
      </c>
      <c r="AT88" s="11" t="str">
        <f t="shared" si="26"/>
        <v/>
      </c>
      <c r="AU88" s="10" t="s">
        <v>39</v>
      </c>
      <c r="AV88" s="11" t="str">
        <f t="shared" si="27"/>
        <v/>
      </c>
      <c r="AW88" s="11" t="str">
        <f t="shared" si="28"/>
        <v/>
      </c>
      <c r="AX88" s="11" t="str">
        <f t="shared" si="29"/>
        <v/>
      </c>
    </row>
    <row r="89" spans="1:50" ht="18" customHeight="1" x14ac:dyDescent="0.2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00000000000001" customHeight="1" x14ac:dyDescent="0.25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4"/>
      <c r="AT90" s="34"/>
      <c r="AU90" s="35"/>
      <c r="AV90" s="36"/>
      <c r="AW90" s="8"/>
      <c r="AX90" s="8"/>
    </row>
    <row r="91" spans="1:50" ht="18" customHeight="1" x14ac:dyDescent="0.25">
      <c r="A91" s="9">
        <v>1.041666666666667</v>
      </c>
      <c r="B91" s="18" t="s">
        <v>74</v>
      </c>
      <c r="C91" s="10"/>
      <c r="D91" s="1" t="s">
        <v>78</v>
      </c>
      <c r="E91" s="10" t="s">
        <v>33</v>
      </c>
      <c r="F91" s="11" t="str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/>
      </c>
      <c r="G91" s="10" t="s">
        <v>33</v>
      </c>
      <c r="H91" s="11" t="str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/>
      </c>
      <c r="I91" s="10" t="s">
        <v>50</v>
      </c>
      <c r="J91" s="11" t="str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/>
      </c>
      <c r="K91" s="10" t="s">
        <v>57</v>
      </c>
      <c r="L91" s="11" t="str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/>
      </c>
      <c r="M91" s="10" t="s">
        <v>33</v>
      </c>
      <c r="N91" s="11" t="str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/>
      </c>
      <c r="O91" s="10" t="s">
        <v>49</v>
      </c>
      <c r="P91" s="11" t="str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/>
      </c>
      <c r="Q91" s="10" t="s">
        <v>123</v>
      </c>
      <c r="R91" s="11" t="str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/>
      </c>
      <c r="S91" s="10" t="s">
        <v>33</v>
      </c>
      <c r="T91" s="11" t="str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/>
      </c>
      <c r="U91" s="10" t="s">
        <v>35</v>
      </c>
      <c r="V91" s="11" t="str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/>
      </c>
      <c r="W91" s="10" t="s">
        <v>35</v>
      </c>
      <c r="X91" s="11" t="str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/>
      </c>
      <c r="Y91" s="10" t="s">
        <v>35</v>
      </c>
      <c r="Z91" s="11" t="str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/>
      </c>
      <c r="AA91" s="10" t="s">
        <v>35</v>
      </c>
      <c r="AB91" s="11" t="str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/>
      </c>
      <c r="AC91" s="28" t="s">
        <v>34</v>
      </c>
      <c r="AD91" s="11" t="str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/>
      </c>
      <c r="AE91" s="10" t="s">
        <v>35</v>
      </c>
      <c r="AF91" s="11" t="str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/>
      </c>
      <c r="AG91" s="10" t="s">
        <v>37</v>
      </c>
      <c r="AH91" s="11" t="str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/>
      </c>
      <c r="AI91" s="10" t="s">
        <v>37</v>
      </c>
      <c r="AJ91" s="11" t="str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/>
      </c>
      <c r="AK91" s="10" t="s">
        <v>33</v>
      </c>
      <c r="AL91" s="11" t="str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/>
      </c>
      <c r="AM91" s="10" t="s">
        <v>35</v>
      </c>
      <c r="AN91" s="11" t="str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/>
      </c>
      <c r="AO91" s="10" t="s">
        <v>33</v>
      </c>
      <c r="AP91" s="11" t="str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/>
      </c>
      <c r="AQ91" s="10" t="s">
        <v>33</v>
      </c>
      <c r="AR91" s="11" t="str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/>
      </c>
      <c r="AS91" s="10" t="s">
        <v>37</v>
      </c>
      <c r="AT91" s="11" t="str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/>
      </c>
      <c r="AU91" s="10" t="s">
        <v>35</v>
      </c>
      <c r="AV91" s="11" t="str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/>
      </c>
      <c r="AW91" s="11" t="str">
        <f t="shared" ref="AW91:AW96" si="52">IF($C91="","",IFERROR(--LEFT($C91,FIND("-",$C91)-1),""))</f>
        <v/>
      </c>
      <c r="AX91" s="11" t="str">
        <f t="shared" ref="AX91:AX96" si="53">IF($C91="","",IFERROR(--MID($C91,FIND("-",$C91)+1,99),""))</f>
        <v/>
      </c>
    </row>
    <row r="92" spans="1:50" ht="18" customHeight="1" x14ac:dyDescent="0.25">
      <c r="A92" s="9">
        <v>1.041666666666667</v>
      </c>
      <c r="B92" s="18" t="s">
        <v>79</v>
      </c>
      <c r="C92" s="10"/>
      <c r="D92" s="1" t="s">
        <v>73</v>
      </c>
      <c r="E92" s="10" t="s">
        <v>56</v>
      </c>
      <c r="F92" s="11" t="str">
        <f t="shared" si="30"/>
        <v/>
      </c>
      <c r="G92" s="10" t="s">
        <v>48</v>
      </c>
      <c r="H92" s="11" t="str">
        <f t="shared" si="31"/>
        <v/>
      </c>
      <c r="I92" s="10" t="s">
        <v>45</v>
      </c>
      <c r="J92" s="11" t="str">
        <f t="shared" si="32"/>
        <v/>
      </c>
      <c r="K92" s="10" t="s">
        <v>115</v>
      </c>
      <c r="L92" s="11" t="str">
        <f t="shared" si="33"/>
        <v/>
      </c>
      <c r="M92" s="10" t="s">
        <v>56</v>
      </c>
      <c r="N92" s="11" t="str">
        <f t="shared" si="34"/>
        <v/>
      </c>
      <c r="O92" s="10" t="s">
        <v>37</v>
      </c>
      <c r="P92" s="11" t="str">
        <f t="shared" si="35"/>
        <v/>
      </c>
      <c r="Q92" s="10" t="s">
        <v>115</v>
      </c>
      <c r="R92" s="11" t="str">
        <f t="shared" si="36"/>
        <v/>
      </c>
      <c r="S92" s="10" t="s">
        <v>115</v>
      </c>
      <c r="T92" s="11" t="str">
        <f t="shared" si="37"/>
        <v/>
      </c>
      <c r="U92" s="10" t="s">
        <v>48</v>
      </c>
      <c r="V92" s="11" t="str">
        <f t="shared" si="38"/>
        <v/>
      </c>
      <c r="W92" s="10" t="s">
        <v>48</v>
      </c>
      <c r="X92" s="11" t="str">
        <f t="shared" si="39"/>
        <v/>
      </c>
      <c r="Y92" s="10" t="s">
        <v>48</v>
      </c>
      <c r="Z92" s="11" t="str">
        <f t="shared" si="40"/>
        <v/>
      </c>
      <c r="AA92" s="10" t="s">
        <v>124</v>
      </c>
      <c r="AB92" s="11" t="str">
        <f t="shared" si="41"/>
        <v/>
      </c>
      <c r="AC92" s="28" t="s">
        <v>45</v>
      </c>
      <c r="AD92" s="11" t="str">
        <f t="shared" si="42"/>
        <v/>
      </c>
      <c r="AE92" s="10" t="s">
        <v>48</v>
      </c>
      <c r="AF92" s="11" t="str">
        <f t="shared" si="43"/>
        <v/>
      </c>
      <c r="AG92" s="10" t="s">
        <v>48</v>
      </c>
      <c r="AH92" s="11" t="str">
        <f t="shared" si="44"/>
        <v/>
      </c>
      <c r="AI92" s="10" t="s">
        <v>48</v>
      </c>
      <c r="AJ92" s="11" t="str">
        <f t="shared" si="45"/>
        <v/>
      </c>
      <c r="AK92" s="10" t="s">
        <v>48</v>
      </c>
      <c r="AL92" s="11" t="str">
        <f t="shared" si="46"/>
        <v/>
      </c>
      <c r="AM92" s="10" t="s">
        <v>48</v>
      </c>
      <c r="AN92" s="11" t="str">
        <f t="shared" si="47"/>
        <v/>
      </c>
      <c r="AO92" s="10" t="s">
        <v>48</v>
      </c>
      <c r="AP92" s="11" t="str">
        <f t="shared" si="48"/>
        <v/>
      </c>
      <c r="AQ92" s="10" t="s">
        <v>37</v>
      </c>
      <c r="AR92" s="11" t="str">
        <f t="shared" si="49"/>
        <v/>
      </c>
      <c r="AS92" s="10" t="s">
        <v>48</v>
      </c>
      <c r="AT92" s="11" t="str">
        <f t="shared" si="50"/>
        <v/>
      </c>
      <c r="AU92" s="10" t="s">
        <v>37</v>
      </c>
      <c r="AV92" s="11" t="str">
        <f t="shared" si="51"/>
        <v/>
      </c>
      <c r="AW92" s="11" t="str">
        <f t="shared" si="52"/>
        <v/>
      </c>
      <c r="AX92" s="11" t="str">
        <f t="shared" si="53"/>
        <v/>
      </c>
    </row>
    <row r="93" spans="1:50" ht="18" customHeight="1" x14ac:dyDescent="0.25">
      <c r="A93" s="9">
        <v>1.166666666666667</v>
      </c>
      <c r="B93" s="18" t="s">
        <v>68</v>
      </c>
      <c r="C93" s="10"/>
      <c r="D93" s="1" t="s">
        <v>52</v>
      </c>
      <c r="E93" s="10" t="s">
        <v>37</v>
      </c>
      <c r="F93" s="11" t="str">
        <f t="shared" si="30"/>
        <v/>
      </c>
      <c r="G93" s="10" t="s">
        <v>37</v>
      </c>
      <c r="H93" s="11" t="str">
        <f t="shared" si="31"/>
        <v/>
      </c>
      <c r="I93" s="10" t="s">
        <v>39</v>
      </c>
      <c r="J93" s="11" t="str">
        <f t="shared" si="32"/>
        <v/>
      </c>
      <c r="K93" s="10" t="s">
        <v>33</v>
      </c>
      <c r="L93" s="11" t="str">
        <f t="shared" si="33"/>
        <v/>
      </c>
      <c r="M93" s="10" t="s">
        <v>36</v>
      </c>
      <c r="N93" s="11" t="str">
        <f t="shared" si="34"/>
        <v/>
      </c>
      <c r="O93" s="10" t="s">
        <v>37</v>
      </c>
      <c r="P93" s="11" t="str">
        <f t="shared" si="35"/>
        <v/>
      </c>
      <c r="Q93" s="10" t="s">
        <v>61</v>
      </c>
      <c r="R93" s="11" t="str">
        <f t="shared" si="36"/>
        <v/>
      </c>
      <c r="S93" s="10" t="s">
        <v>56</v>
      </c>
      <c r="T93" s="11" t="str">
        <f t="shared" si="37"/>
        <v/>
      </c>
      <c r="U93" s="10" t="s">
        <v>35</v>
      </c>
      <c r="V93" s="11" t="str">
        <f t="shared" si="38"/>
        <v/>
      </c>
      <c r="W93" s="10" t="s">
        <v>37</v>
      </c>
      <c r="X93" s="11" t="str">
        <f t="shared" si="39"/>
        <v/>
      </c>
      <c r="Y93" s="10" t="s">
        <v>35</v>
      </c>
      <c r="Z93" s="11" t="str">
        <f t="shared" si="40"/>
        <v/>
      </c>
      <c r="AA93" s="10" t="s">
        <v>33</v>
      </c>
      <c r="AB93" s="11" t="str">
        <f t="shared" si="41"/>
        <v/>
      </c>
      <c r="AC93" s="28" t="s">
        <v>35</v>
      </c>
      <c r="AD93" s="11" t="str">
        <f t="shared" si="42"/>
        <v/>
      </c>
      <c r="AE93" s="10" t="s">
        <v>37</v>
      </c>
      <c r="AF93" s="11" t="str">
        <f t="shared" si="43"/>
        <v/>
      </c>
      <c r="AG93" s="10" t="s">
        <v>35</v>
      </c>
      <c r="AH93" s="11" t="str">
        <f t="shared" si="44"/>
        <v/>
      </c>
      <c r="AI93" s="10" t="s">
        <v>39</v>
      </c>
      <c r="AJ93" s="11" t="str">
        <f t="shared" si="45"/>
        <v/>
      </c>
      <c r="AK93" s="10" t="s">
        <v>37</v>
      </c>
      <c r="AL93" s="11" t="str">
        <f t="shared" si="46"/>
        <v/>
      </c>
      <c r="AM93" s="10" t="s">
        <v>45</v>
      </c>
      <c r="AN93" s="11" t="str">
        <f t="shared" si="47"/>
        <v/>
      </c>
      <c r="AO93" s="10" t="s">
        <v>35</v>
      </c>
      <c r="AP93" s="11" t="str">
        <f t="shared" si="48"/>
        <v/>
      </c>
      <c r="AQ93" s="10" t="s">
        <v>35</v>
      </c>
      <c r="AR93" s="11" t="str">
        <f t="shared" si="49"/>
        <v/>
      </c>
      <c r="AS93" s="10" t="s">
        <v>39</v>
      </c>
      <c r="AT93" s="11" t="str">
        <f t="shared" si="50"/>
        <v/>
      </c>
      <c r="AU93" s="10" t="s">
        <v>37</v>
      </c>
      <c r="AV93" s="11" t="str">
        <f t="shared" si="51"/>
        <v/>
      </c>
      <c r="AW93" s="11" t="str">
        <f t="shared" si="52"/>
        <v/>
      </c>
      <c r="AX93" s="11" t="str">
        <f t="shared" si="53"/>
        <v/>
      </c>
    </row>
    <row r="94" spans="1:50" ht="18" customHeight="1" x14ac:dyDescent="0.25">
      <c r="A94" s="9">
        <v>1.166666666666667</v>
      </c>
      <c r="B94" s="18" t="s">
        <v>53</v>
      </c>
      <c r="C94" s="10"/>
      <c r="D94" s="1" t="s">
        <v>67</v>
      </c>
      <c r="E94" s="10" t="s">
        <v>35</v>
      </c>
      <c r="F94" s="11" t="str">
        <f t="shared" si="30"/>
        <v/>
      </c>
      <c r="G94" s="10" t="s">
        <v>33</v>
      </c>
      <c r="H94" s="11" t="str">
        <f t="shared" si="31"/>
        <v/>
      </c>
      <c r="I94" s="10" t="s">
        <v>39</v>
      </c>
      <c r="J94" s="11" t="str">
        <f t="shared" si="32"/>
        <v/>
      </c>
      <c r="K94" s="10" t="s">
        <v>34</v>
      </c>
      <c r="L94" s="11" t="str">
        <f t="shared" si="33"/>
        <v/>
      </c>
      <c r="M94" s="10" t="s">
        <v>37</v>
      </c>
      <c r="N94" s="11" t="str">
        <f t="shared" si="34"/>
        <v/>
      </c>
      <c r="O94" s="10" t="s">
        <v>33</v>
      </c>
      <c r="P94" s="11" t="str">
        <f t="shared" si="35"/>
        <v/>
      </c>
      <c r="Q94" s="10" t="s">
        <v>35</v>
      </c>
      <c r="R94" s="11" t="str">
        <f t="shared" si="36"/>
        <v/>
      </c>
      <c r="S94" s="10" t="s">
        <v>33</v>
      </c>
      <c r="T94" s="11" t="str">
        <f t="shared" si="37"/>
        <v/>
      </c>
      <c r="U94" s="10" t="s">
        <v>39</v>
      </c>
      <c r="V94" s="11" t="str">
        <f t="shared" si="38"/>
        <v/>
      </c>
      <c r="W94" s="10" t="s">
        <v>39</v>
      </c>
      <c r="X94" s="11" t="str">
        <f t="shared" si="39"/>
        <v/>
      </c>
      <c r="Y94" s="10" t="s">
        <v>33</v>
      </c>
      <c r="Z94" s="11" t="str">
        <f t="shared" si="40"/>
        <v/>
      </c>
      <c r="AA94" s="10" t="s">
        <v>123</v>
      </c>
      <c r="AB94" s="11" t="str">
        <f t="shared" si="41"/>
        <v/>
      </c>
      <c r="AC94" s="28" t="s">
        <v>35</v>
      </c>
      <c r="AD94" s="11" t="str">
        <f t="shared" si="42"/>
        <v/>
      </c>
      <c r="AE94" s="10" t="s">
        <v>35</v>
      </c>
      <c r="AF94" s="11" t="str">
        <f t="shared" si="43"/>
        <v/>
      </c>
      <c r="AG94" s="10" t="s">
        <v>39</v>
      </c>
      <c r="AH94" s="11" t="str">
        <f t="shared" si="44"/>
        <v/>
      </c>
      <c r="AI94" s="10" t="s">
        <v>45</v>
      </c>
      <c r="AJ94" s="11" t="str">
        <f t="shared" si="45"/>
        <v/>
      </c>
      <c r="AK94" s="10" t="s">
        <v>33</v>
      </c>
      <c r="AL94" s="11" t="str">
        <f t="shared" si="46"/>
        <v/>
      </c>
      <c r="AM94" s="10" t="s">
        <v>50</v>
      </c>
      <c r="AN94" s="11" t="str">
        <f t="shared" si="47"/>
        <v/>
      </c>
      <c r="AO94" s="10" t="s">
        <v>36</v>
      </c>
      <c r="AP94" s="11" t="str">
        <f t="shared" si="48"/>
        <v/>
      </c>
      <c r="AQ94" s="10" t="s">
        <v>57</v>
      </c>
      <c r="AR94" s="11" t="str">
        <f t="shared" si="49"/>
        <v/>
      </c>
      <c r="AS94" s="10" t="s">
        <v>35</v>
      </c>
      <c r="AT94" s="11" t="str">
        <f t="shared" si="50"/>
        <v/>
      </c>
      <c r="AU94" s="10" t="s">
        <v>33</v>
      </c>
      <c r="AV94" s="11" t="str">
        <f t="shared" si="51"/>
        <v/>
      </c>
      <c r="AW94" s="11" t="str">
        <f t="shared" si="52"/>
        <v/>
      </c>
      <c r="AX94" s="11" t="str">
        <f t="shared" si="53"/>
        <v/>
      </c>
    </row>
    <row r="95" spans="1:50" ht="18" customHeight="1" x14ac:dyDescent="0.25">
      <c r="A95" s="9">
        <v>1.875</v>
      </c>
      <c r="B95" s="18" t="s">
        <v>94</v>
      </c>
      <c r="C95" s="10"/>
      <c r="D95" s="1" t="s">
        <v>89</v>
      </c>
      <c r="E95" s="10" t="s">
        <v>37</v>
      </c>
      <c r="F95" s="11" t="str">
        <f t="shared" si="30"/>
        <v/>
      </c>
      <c r="G95" s="10" t="s">
        <v>48</v>
      </c>
      <c r="H95" s="11" t="str">
        <f t="shared" si="31"/>
        <v/>
      </c>
      <c r="I95" s="10" t="s">
        <v>45</v>
      </c>
      <c r="J95" s="11" t="str">
        <f t="shared" si="32"/>
        <v/>
      </c>
      <c r="K95" s="10" t="s">
        <v>121</v>
      </c>
      <c r="L95" s="11" t="str">
        <f t="shared" si="33"/>
        <v/>
      </c>
      <c r="M95" s="10" t="s">
        <v>61</v>
      </c>
      <c r="N95" s="11" t="str">
        <f t="shared" si="34"/>
        <v/>
      </c>
      <c r="O95" s="10" t="s">
        <v>57</v>
      </c>
      <c r="P95" s="11" t="str">
        <f t="shared" si="35"/>
        <v/>
      </c>
      <c r="Q95" s="10" t="s">
        <v>33</v>
      </c>
      <c r="R95" s="11" t="str">
        <f t="shared" si="36"/>
        <v/>
      </c>
      <c r="S95" s="10" t="s">
        <v>115</v>
      </c>
      <c r="T95" s="11" t="str">
        <f t="shared" si="37"/>
        <v/>
      </c>
      <c r="U95" s="10" t="s">
        <v>37</v>
      </c>
      <c r="V95" s="11" t="str">
        <f t="shared" si="38"/>
        <v/>
      </c>
      <c r="W95" s="10" t="s">
        <v>35</v>
      </c>
      <c r="X95" s="11" t="str">
        <f t="shared" si="39"/>
        <v/>
      </c>
      <c r="Y95" s="10" t="s">
        <v>37</v>
      </c>
      <c r="Z95" s="11" t="str">
        <f t="shared" si="40"/>
        <v/>
      </c>
      <c r="AA95" s="10" t="s">
        <v>57</v>
      </c>
      <c r="AB95" s="11" t="str">
        <f t="shared" si="41"/>
        <v/>
      </c>
      <c r="AC95" s="28" t="s">
        <v>37</v>
      </c>
      <c r="AD95" s="11" t="str">
        <f t="shared" si="42"/>
        <v/>
      </c>
      <c r="AE95" s="10" t="s">
        <v>48</v>
      </c>
      <c r="AF95" s="11" t="str">
        <f t="shared" si="43"/>
        <v/>
      </c>
      <c r="AG95" s="10" t="s">
        <v>48</v>
      </c>
      <c r="AH95" s="11" t="str">
        <f t="shared" si="44"/>
        <v/>
      </c>
      <c r="AI95" s="10" t="s">
        <v>57</v>
      </c>
      <c r="AJ95" s="11" t="str">
        <f t="shared" si="45"/>
        <v/>
      </c>
      <c r="AK95" s="10" t="s">
        <v>35</v>
      </c>
      <c r="AL95" s="11" t="str">
        <f t="shared" si="46"/>
        <v/>
      </c>
      <c r="AM95" s="10" t="s">
        <v>33</v>
      </c>
      <c r="AN95" s="11" t="str">
        <f t="shared" si="47"/>
        <v/>
      </c>
      <c r="AO95" s="10" t="s">
        <v>48</v>
      </c>
      <c r="AP95" s="11" t="str">
        <f t="shared" si="48"/>
        <v/>
      </c>
      <c r="AQ95" s="10" t="s">
        <v>48</v>
      </c>
      <c r="AR95" s="11" t="str">
        <f t="shared" si="49"/>
        <v/>
      </c>
      <c r="AS95" s="10" t="s">
        <v>49</v>
      </c>
      <c r="AT95" s="11" t="str">
        <f t="shared" si="50"/>
        <v/>
      </c>
      <c r="AU95" s="10" t="s">
        <v>57</v>
      </c>
      <c r="AV95" s="11" t="str">
        <f t="shared" si="51"/>
        <v/>
      </c>
      <c r="AW95" s="11" t="str">
        <f t="shared" si="52"/>
        <v/>
      </c>
      <c r="AX95" s="11" t="str">
        <f t="shared" si="53"/>
        <v/>
      </c>
    </row>
    <row r="96" spans="1:50" ht="18" customHeight="1" x14ac:dyDescent="0.25">
      <c r="A96" s="9">
        <v>1.875</v>
      </c>
      <c r="B96" s="18" t="s">
        <v>90</v>
      </c>
      <c r="C96" s="10"/>
      <c r="D96" s="1" t="s">
        <v>93</v>
      </c>
      <c r="E96" s="10" t="s">
        <v>36</v>
      </c>
      <c r="F96" s="11" t="str">
        <f t="shared" si="30"/>
        <v/>
      </c>
      <c r="G96" s="10" t="s">
        <v>39</v>
      </c>
      <c r="H96" s="11" t="str">
        <f t="shared" si="31"/>
        <v/>
      </c>
      <c r="I96" s="10" t="s">
        <v>39</v>
      </c>
      <c r="J96" s="11" t="str">
        <f t="shared" si="32"/>
        <v/>
      </c>
      <c r="K96" s="10" t="s">
        <v>33</v>
      </c>
      <c r="L96" s="11" t="str">
        <f t="shared" si="33"/>
        <v/>
      </c>
      <c r="M96" s="10" t="s">
        <v>36</v>
      </c>
      <c r="N96" s="11" t="str">
        <f t="shared" si="34"/>
        <v/>
      </c>
      <c r="O96" s="10" t="s">
        <v>33</v>
      </c>
      <c r="P96" s="11" t="str">
        <f t="shared" si="35"/>
        <v/>
      </c>
      <c r="Q96" s="10" t="s">
        <v>33</v>
      </c>
      <c r="R96" s="11" t="str">
        <f t="shared" si="36"/>
        <v/>
      </c>
      <c r="S96" s="10" t="s">
        <v>35</v>
      </c>
      <c r="T96" s="11" t="str">
        <f t="shared" si="37"/>
        <v/>
      </c>
      <c r="U96" s="10" t="s">
        <v>36</v>
      </c>
      <c r="V96" s="11" t="str">
        <f t="shared" si="38"/>
        <v/>
      </c>
      <c r="W96" s="10" t="s">
        <v>36</v>
      </c>
      <c r="X96" s="11" t="str">
        <f t="shared" si="39"/>
        <v/>
      </c>
      <c r="Y96" s="10" t="s">
        <v>36</v>
      </c>
      <c r="Z96" s="11" t="str">
        <f t="shared" si="40"/>
        <v/>
      </c>
      <c r="AA96" s="10" t="s">
        <v>33</v>
      </c>
      <c r="AB96" s="11" t="str">
        <f t="shared" si="41"/>
        <v/>
      </c>
      <c r="AC96" s="28" t="s">
        <v>34</v>
      </c>
      <c r="AD96" s="11" t="str">
        <f t="shared" si="42"/>
        <v/>
      </c>
      <c r="AE96" s="10" t="s">
        <v>36</v>
      </c>
      <c r="AF96" s="11" t="str">
        <f t="shared" si="43"/>
        <v/>
      </c>
      <c r="AG96" s="10" t="s">
        <v>33</v>
      </c>
      <c r="AH96" s="11" t="str">
        <f t="shared" si="44"/>
        <v/>
      </c>
      <c r="AI96" s="10" t="s">
        <v>36</v>
      </c>
      <c r="AJ96" s="11" t="str">
        <f t="shared" si="45"/>
        <v/>
      </c>
      <c r="AK96" s="10" t="s">
        <v>33</v>
      </c>
      <c r="AL96" s="11" t="str">
        <f t="shared" si="46"/>
        <v/>
      </c>
      <c r="AM96" s="10" t="s">
        <v>33</v>
      </c>
      <c r="AN96" s="11" t="str">
        <f t="shared" si="47"/>
        <v/>
      </c>
      <c r="AO96" s="10" t="s">
        <v>50</v>
      </c>
      <c r="AP96" s="11" t="str">
        <f t="shared" si="48"/>
        <v/>
      </c>
      <c r="AQ96" s="10" t="s">
        <v>45</v>
      </c>
      <c r="AR96" s="11" t="str">
        <f t="shared" si="49"/>
        <v/>
      </c>
      <c r="AS96" s="10" t="s">
        <v>50</v>
      </c>
      <c r="AT96" s="11" t="str">
        <f t="shared" si="50"/>
        <v/>
      </c>
      <c r="AU96" s="10" t="s">
        <v>39</v>
      </c>
      <c r="AV96" s="11" t="str">
        <f t="shared" si="51"/>
        <v/>
      </c>
      <c r="AW96" s="11" t="str">
        <f t="shared" si="52"/>
        <v/>
      </c>
      <c r="AX96" s="11" t="str">
        <f t="shared" si="53"/>
        <v/>
      </c>
    </row>
    <row r="97" spans="1:50" ht="18" customHeight="1" x14ac:dyDescent="0.2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00000000000001" customHeight="1" x14ac:dyDescent="0.25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4"/>
      <c r="AT98" s="34"/>
      <c r="AU98" s="35"/>
      <c r="AV98" s="36"/>
      <c r="AW98" s="8"/>
      <c r="AX98" s="8"/>
    </row>
    <row r="99" spans="1:50" ht="18" customHeight="1" x14ac:dyDescent="0.25">
      <c r="A99" s="9">
        <v>1.083333333333333</v>
      </c>
      <c r="B99" s="18" t="s">
        <v>81</v>
      </c>
      <c r="C99" s="10"/>
      <c r="D99" s="1" t="s">
        <v>85</v>
      </c>
      <c r="E99" s="10" t="s">
        <v>35</v>
      </c>
      <c r="F99" s="11" t="str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/>
      </c>
      <c r="G99" s="10" t="s">
        <v>48</v>
      </c>
      <c r="H99" s="11" t="str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/>
      </c>
      <c r="I99" s="10" t="s">
        <v>45</v>
      </c>
      <c r="J99" s="11" t="str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/>
      </c>
      <c r="K99" s="10" t="s">
        <v>49</v>
      </c>
      <c r="L99" s="11" t="str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/>
      </c>
      <c r="M99" s="10" t="s">
        <v>36</v>
      </c>
      <c r="N99" s="11" t="str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/>
      </c>
      <c r="O99" s="10" t="s">
        <v>48</v>
      </c>
      <c r="P99" s="11" t="str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/>
      </c>
      <c r="Q99" s="10" t="s">
        <v>49</v>
      </c>
      <c r="R99" s="11" t="str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/>
      </c>
      <c r="S99" s="10" t="s">
        <v>35</v>
      </c>
      <c r="T99" s="11" t="str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/>
      </c>
      <c r="U99" s="10" t="s">
        <v>35</v>
      </c>
      <c r="V99" s="11" t="str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/>
      </c>
      <c r="W99" s="10" t="s">
        <v>45</v>
      </c>
      <c r="X99" s="11" t="str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/>
      </c>
      <c r="Y99" s="10" t="s">
        <v>35</v>
      </c>
      <c r="Z99" s="11" t="str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/>
      </c>
      <c r="AA99" s="10" t="s">
        <v>37</v>
      </c>
      <c r="AB99" s="11" t="str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/>
      </c>
      <c r="AC99" s="28" t="s">
        <v>34</v>
      </c>
      <c r="AD99" s="11" t="str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/>
      </c>
      <c r="AE99" s="10" t="s">
        <v>35</v>
      </c>
      <c r="AF99" s="11" t="str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/>
      </c>
      <c r="AG99" s="10" t="s">
        <v>35</v>
      </c>
      <c r="AH99" s="11" t="str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/>
      </c>
      <c r="AI99" s="10" t="s">
        <v>45</v>
      </c>
      <c r="AJ99" s="11" t="str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/>
      </c>
      <c r="AK99" s="10" t="s">
        <v>35</v>
      </c>
      <c r="AL99" s="11" t="str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/>
      </c>
      <c r="AM99" s="10" t="s">
        <v>49</v>
      </c>
      <c r="AN99" s="11" t="str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/>
      </c>
      <c r="AO99" s="10" t="s">
        <v>50</v>
      </c>
      <c r="AP99" s="11" t="str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/>
      </c>
      <c r="AQ99" s="10" t="s">
        <v>39</v>
      </c>
      <c r="AR99" s="11" t="str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/>
      </c>
      <c r="AS99" s="10" t="s">
        <v>35</v>
      </c>
      <c r="AT99" s="11" t="str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/>
      </c>
      <c r="AU99" s="10" t="s">
        <v>50</v>
      </c>
      <c r="AV99" s="11" t="str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/>
      </c>
      <c r="AW99" s="11" t="str">
        <f t="shared" ref="AW99:AW104" si="76">IF($C99="","",IFERROR(--LEFT($C99,FIND("-",$C99)-1),""))</f>
        <v/>
      </c>
      <c r="AX99" s="11" t="str">
        <f t="shared" ref="AX99:AX104" si="77">IF($C99="","",IFERROR(--MID($C99,FIND("-",$C99)+1,99),""))</f>
        <v/>
      </c>
    </row>
    <row r="100" spans="1:50" ht="18" customHeight="1" x14ac:dyDescent="0.25">
      <c r="A100" s="9">
        <v>1.083333333333333</v>
      </c>
      <c r="B100" s="18" t="s">
        <v>86</v>
      </c>
      <c r="C100" s="10"/>
      <c r="D100" s="1" t="s">
        <v>80</v>
      </c>
      <c r="E100" s="10" t="s">
        <v>37</v>
      </c>
      <c r="F100" s="11" t="str">
        <f t="shared" si="54"/>
        <v/>
      </c>
      <c r="G100" s="10" t="s">
        <v>57</v>
      </c>
      <c r="H100" s="11" t="str">
        <f t="shared" si="55"/>
        <v/>
      </c>
      <c r="I100" s="10" t="s">
        <v>45</v>
      </c>
      <c r="J100" s="11" t="str">
        <f t="shared" si="56"/>
        <v/>
      </c>
      <c r="K100" s="10" t="s">
        <v>57</v>
      </c>
      <c r="L100" s="11" t="str">
        <f t="shared" si="57"/>
        <v/>
      </c>
      <c r="M100" s="10" t="s">
        <v>37</v>
      </c>
      <c r="N100" s="11" t="str">
        <f t="shared" si="58"/>
        <v/>
      </c>
      <c r="O100" s="10" t="s">
        <v>57</v>
      </c>
      <c r="P100" s="11" t="str">
        <f t="shared" si="59"/>
        <v/>
      </c>
      <c r="Q100" s="10" t="s">
        <v>37</v>
      </c>
      <c r="R100" s="11" t="str">
        <f t="shared" si="60"/>
        <v/>
      </c>
      <c r="S100" s="10" t="s">
        <v>115</v>
      </c>
      <c r="T100" s="11" t="str">
        <f t="shared" si="61"/>
        <v/>
      </c>
      <c r="U100" s="10" t="s">
        <v>57</v>
      </c>
      <c r="V100" s="11" t="str">
        <f t="shared" si="62"/>
        <v/>
      </c>
      <c r="W100" s="10" t="s">
        <v>35</v>
      </c>
      <c r="X100" s="11" t="str">
        <f t="shared" si="63"/>
        <v/>
      </c>
      <c r="Y100" s="10" t="s">
        <v>35</v>
      </c>
      <c r="Z100" s="11" t="str">
        <f t="shared" si="64"/>
        <v/>
      </c>
      <c r="AA100" s="10" t="s">
        <v>66</v>
      </c>
      <c r="AB100" s="11" t="str">
        <f t="shared" si="65"/>
        <v/>
      </c>
      <c r="AC100" s="28" t="s">
        <v>48</v>
      </c>
      <c r="AD100" s="11" t="str">
        <f t="shared" si="66"/>
        <v/>
      </c>
      <c r="AE100" s="10" t="s">
        <v>37</v>
      </c>
      <c r="AF100" s="11" t="str">
        <f t="shared" si="67"/>
        <v/>
      </c>
      <c r="AG100" s="10" t="s">
        <v>35</v>
      </c>
      <c r="AH100" s="11" t="str">
        <f t="shared" si="68"/>
        <v/>
      </c>
      <c r="AI100" s="10" t="s">
        <v>56</v>
      </c>
      <c r="AJ100" s="11" t="str">
        <f t="shared" si="69"/>
        <v/>
      </c>
      <c r="AK100" s="10" t="s">
        <v>37</v>
      </c>
      <c r="AL100" s="11" t="str">
        <f t="shared" si="70"/>
        <v/>
      </c>
      <c r="AM100" s="10" t="s">
        <v>37</v>
      </c>
      <c r="AN100" s="11" t="str">
        <f t="shared" si="71"/>
        <v/>
      </c>
      <c r="AO100" s="10" t="s">
        <v>37</v>
      </c>
      <c r="AP100" s="11" t="str">
        <f t="shared" si="72"/>
        <v/>
      </c>
      <c r="AQ100" s="10" t="s">
        <v>48</v>
      </c>
      <c r="AR100" s="11" t="str">
        <f t="shared" si="73"/>
        <v/>
      </c>
      <c r="AS100" s="10" t="s">
        <v>115</v>
      </c>
      <c r="AT100" s="11" t="str">
        <f t="shared" si="74"/>
        <v/>
      </c>
      <c r="AU100" s="10" t="s">
        <v>35</v>
      </c>
      <c r="AV100" s="11" t="str">
        <f t="shared" si="75"/>
        <v/>
      </c>
      <c r="AW100" s="11" t="str">
        <f t="shared" si="76"/>
        <v/>
      </c>
      <c r="AX100" s="11" t="str">
        <f t="shared" si="77"/>
        <v/>
      </c>
    </row>
    <row r="101" spans="1:50" ht="18" customHeight="1" x14ac:dyDescent="0.25">
      <c r="A101" s="9">
        <v>1.208333333333333</v>
      </c>
      <c r="B101" s="18" t="s">
        <v>83</v>
      </c>
      <c r="C101" s="10"/>
      <c r="D101" s="1" t="s">
        <v>87</v>
      </c>
      <c r="E101" s="10" t="s">
        <v>35</v>
      </c>
      <c r="F101" s="11" t="str">
        <f t="shared" si="54"/>
        <v/>
      </c>
      <c r="G101" s="10" t="s">
        <v>45</v>
      </c>
      <c r="H101" s="11" t="str">
        <f t="shared" si="55"/>
        <v/>
      </c>
      <c r="I101" s="10" t="s">
        <v>39</v>
      </c>
      <c r="J101" s="11" t="str">
        <f t="shared" si="56"/>
        <v/>
      </c>
      <c r="K101" s="10" t="s">
        <v>35</v>
      </c>
      <c r="L101" s="11" t="str">
        <f t="shared" si="57"/>
        <v/>
      </c>
      <c r="M101" s="10" t="s">
        <v>37</v>
      </c>
      <c r="N101" s="11" t="str">
        <f t="shared" si="58"/>
        <v/>
      </c>
      <c r="O101" s="10" t="s">
        <v>33</v>
      </c>
      <c r="P101" s="11" t="str">
        <f t="shared" si="59"/>
        <v/>
      </c>
      <c r="Q101" s="10" t="s">
        <v>50</v>
      </c>
      <c r="R101" s="11" t="str">
        <f t="shared" si="60"/>
        <v/>
      </c>
      <c r="S101" s="10" t="s">
        <v>37</v>
      </c>
      <c r="T101" s="11" t="str">
        <f t="shared" si="61"/>
        <v/>
      </c>
      <c r="U101" s="10" t="s">
        <v>35</v>
      </c>
      <c r="V101" s="11" t="str">
        <f t="shared" si="62"/>
        <v/>
      </c>
      <c r="W101" s="10" t="s">
        <v>35</v>
      </c>
      <c r="X101" s="11" t="str">
        <f t="shared" si="63"/>
        <v/>
      </c>
      <c r="Y101" s="10" t="s">
        <v>35</v>
      </c>
      <c r="Z101" s="11" t="str">
        <f t="shared" si="64"/>
        <v/>
      </c>
      <c r="AA101" s="10" t="s">
        <v>35</v>
      </c>
      <c r="AB101" s="11" t="str">
        <f t="shared" si="65"/>
        <v/>
      </c>
      <c r="AC101" s="28" t="s">
        <v>35</v>
      </c>
      <c r="AD101" s="11" t="str">
        <f t="shared" si="66"/>
        <v/>
      </c>
      <c r="AE101" s="10" t="s">
        <v>35</v>
      </c>
      <c r="AF101" s="11" t="str">
        <f t="shared" si="67"/>
        <v/>
      </c>
      <c r="AG101" s="10" t="s">
        <v>39</v>
      </c>
      <c r="AH101" s="11" t="str">
        <f t="shared" si="68"/>
        <v/>
      </c>
      <c r="AI101" s="10" t="s">
        <v>39</v>
      </c>
      <c r="AJ101" s="11" t="str">
        <f t="shared" si="69"/>
        <v/>
      </c>
      <c r="AK101" s="10" t="s">
        <v>33</v>
      </c>
      <c r="AL101" s="11" t="str">
        <f t="shared" si="70"/>
        <v/>
      </c>
      <c r="AM101" s="10" t="s">
        <v>49</v>
      </c>
      <c r="AN101" s="11" t="str">
        <f t="shared" si="71"/>
        <v/>
      </c>
      <c r="AO101" s="10" t="s">
        <v>35</v>
      </c>
      <c r="AP101" s="11" t="str">
        <f t="shared" si="72"/>
        <v/>
      </c>
      <c r="AQ101" s="10" t="s">
        <v>37</v>
      </c>
      <c r="AR101" s="11" t="str">
        <f t="shared" si="73"/>
        <v/>
      </c>
      <c r="AS101" s="10" t="s">
        <v>50</v>
      </c>
      <c r="AT101" s="11" t="str">
        <f t="shared" si="74"/>
        <v/>
      </c>
      <c r="AU101" s="10" t="s">
        <v>50</v>
      </c>
      <c r="AV101" s="11" t="str">
        <f t="shared" si="75"/>
        <v/>
      </c>
      <c r="AW101" s="11" t="str">
        <f t="shared" si="76"/>
        <v/>
      </c>
      <c r="AX101" s="11" t="str">
        <f t="shared" si="77"/>
        <v/>
      </c>
    </row>
    <row r="102" spans="1:50" ht="18" customHeight="1" x14ac:dyDescent="0.25">
      <c r="A102" s="9">
        <v>1.208333333333333</v>
      </c>
      <c r="B102" s="18" t="s">
        <v>88</v>
      </c>
      <c r="C102" s="10"/>
      <c r="D102" s="1" t="s">
        <v>82</v>
      </c>
      <c r="E102" s="10" t="s">
        <v>115</v>
      </c>
      <c r="F102" s="11" t="str">
        <f t="shared" si="54"/>
        <v/>
      </c>
      <c r="G102" s="10" t="s">
        <v>48</v>
      </c>
      <c r="H102" s="11" t="str">
        <f t="shared" si="55"/>
        <v/>
      </c>
      <c r="I102" s="10" t="s">
        <v>48</v>
      </c>
      <c r="J102" s="11" t="str">
        <f t="shared" si="56"/>
        <v/>
      </c>
      <c r="K102" s="10" t="s">
        <v>115</v>
      </c>
      <c r="L102" s="11" t="str">
        <f t="shared" si="57"/>
        <v/>
      </c>
      <c r="M102" s="10" t="s">
        <v>57</v>
      </c>
      <c r="N102" s="11" t="str">
        <f t="shared" si="58"/>
        <v/>
      </c>
      <c r="O102" s="10" t="s">
        <v>57</v>
      </c>
      <c r="P102" s="11" t="str">
        <f t="shared" si="59"/>
        <v/>
      </c>
      <c r="Q102" s="10" t="s">
        <v>37</v>
      </c>
      <c r="R102" s="11" t="str">
        <f t="shared" si="60"/>
        <v/>
      </c>
      <c r="S102" s="10" t="s">
        <v>115</v>
      </c>
      <c r="T102" s="11" t="str">
        <f t="shared" si="61"/>
        <v/>
      </c>
      <c r="U102" s="10" t="s">
        <v>48</v>
      </c>
      <c r="V102" s="11" t="str">
        <f t="shared" si="62"/>
        <v/>
      </c>
      <c r="W102" s="10" t="s">
        <v>56</v>
      </c>
      <c r="X102" s="11" t="str">
        <f t="shared" si="63"/>
        <v/>
      </c>
      <c r="Y102" s="10" t="s">
        <v>56</v>
      </c>
      <c r="Z102" s="11" t="str">
        <f t="shared" si="64"/>
        <v/>
      </c>
      <c r="AA102" s="10" t="s">
        <v>57</v>
      </c>
      <c r="AB102" s="11" t="str">
        <f t="shared" si="65"/>
        <v/>
      </c>
      <c r="AC102" s="28" t="s">
        <v>37</v>
      </c>
      <c r="AD102" s="11" t="str">
        <f t="shared" si="66"/>
        <v/>
      </c>
      <c r="AE102" s="10" t="s">
        <v>48</v>
      </c>
      <c r="AF102" s="11" t="str">
        <f t="shared" si="67"/>
        <v/>
      </c>
      <c r="AG102" s="10" t="s">
        <v>48</v>
      </c>
      <c r="AH102" s="11" t="str">
        <f t="shared" si="68"/>
        <v/>
      </c>
      <c r="AI102" s="10" t="s">
        <v>48</v>
      </c>
      <c r="AJ102" s="11" t="str">
        <f t="shared" si="69"/>
        <v/>
      </c>
      <c r="AK102" s="10" t="s">
        <v>48</v>
      </c>
      <c r="AL102" s="11" t="str">
        <f t="shared" si="70"/>
        <v/>
      </c>
      <c r="AM102" s="10" t="s">
        <v>48</v>
      </c>
      <c r="AN102" s="11" t="str">
        <f t="shared" si="71"/>
        <v/>
      </c>
      <c r="AO102" s="10" t="s">
        <v>45</v>
      </c>
      <c r="AP102" s="11" t="str">
        <f t="shared" si="72"/>
        <v/>
      </c>
      <c r="AQ102" s="10" t="s">
        <v>48</v>
      </c>
      <c r="AR102" s="11" t="str">
        <f t="shared" si="73"/>
        <v/>
      </c>
      <c r="AS102" s="10" t="s">
        <v>45</v>
      </c>
      <c r="AT102" s="11" t="str">
        <f t="shared" si="74"/>
        <v/>
      </c>
      <c r="AU102" s="10" t="s">
        <v>57</v>
      </c>
      <c r="AV102" s="11" t="str">
        <f t="shared" si="75"/>
        <v/>
      </c>
      <c r="AW102" s="11" t="str">
        <f t="shared" si="76"/>
        <v/>
      </c>
      <c r="AX102" s="11" t="str">
        <f t="shared" si="77"/>
        <v/>
      </c>
    </row>
    <row r="103" spans="1:50" ht="18" customHeight="1" x14ac:dyDescent="0.25">
      <c r="A103" s="9">
        <v>1.958333333333333</v>
      </c>
      <c r="B103" s="18" t="s">
        <v>105</v>
      </c>
      <c r="C103" s="10"/>
      <c r="D103" s="1" t="s">
        <v>101</v>
      </c>
      <c r="E103" s="10" t="s">
        <v>56</v>
      </c>
      <c r="F103" s="11" t="str">
        <f t="shared" si="54"/>
        <v/>
      </c>
      <c r="G103" s="10" t="s">
        <v>56</v>
      </c>
      <c r="H103" s="11" t="str">
        <f t="shared" si="55"/>
        <v/>
      </c>
      <c r="I103" s="10" t="s">
        <v>45</v>
      </c>
      <c r="J103" s="11" t="str">
        <f t="shared" si="56"/>
        <v/>
      </c>
      <c r="K103" s="10" t="s">
        <v>57</v>
      </c>
      <c r="L103" s="11" t="str">
        <f t="shared" si="57"/>
        <v/>
      </c>
      <c r="M103" s="10" t="s">
        <v>57</v>
      </c>
      <c r="N103" s="11" t="str">
        <f t="shared" si="58"/>
        <v/>
      </c>
      <c r="O103" s="10" t="s">
        <v>48</v>
      </c>
      <c r="P103" s="11" t="str">
        <f t="shared" si="59"/>
        <v/>
      </c>
      <c r="Q103" s="10" t="s">
        <v>56</v>
      </c>
      <c r="R103" s="11" t="str">
        <f t="shared" si="60"/>
        <v/>
      </c>
      <c r="S103" s="10" t="s">
        <v>115</v>
      </c>
      <c r="T103" s="11" t="str">
        <f t="shared" si="61"/>
        <v/>
      </c>
      <c r="U103" s="10" t="s">
        <v>48</v>
      </c>
      <c r="V103" s="11" t="str">
        <f t="shared" si="62"/>
        <v/>
      </c>
      <c r="W103" s="10" t="s">
        <v>48</v>
      </c>
      <c r="X103" s="11" t="str">
        <f t="shared" si="63"/>
        <v/>
      </c>
      <c r="Y103" s="10" t="s">
        <v>56</v>
      </c>
      <c r="Z103" s="11" t="str">
        <f t="shared" si="64"/>
        <v/>
      </c>
      <c r="AA103" s="10" t="s">
        <v>48</v>
      </c>
      <c r="AB103" s="11" t="str">
        <f t="shared" si="65"/>
        <v/>
      </c>
      <c r="AC103" s="28" t="s">
        <v>56</v>
      </c>
      <c r="AD103" s="11" t="str">
        <f t="shared" si="66"/>
        <v/>
      </c>
      <c r="AE103" s="10" t="s">
        <v>56</v>
      </c>
      <c r="AF103" s="11" t="str">
        <f t="shared" si="67"/>
        <v/>
      </c>
      <c r="AG103" s="10" t="s">
        <v>56</v>
      </c>
      <c r="AH103" s="11" t="str">
        <f t="shared" si="68"/>
        <v/>
      </c>
      <c r="AI103" s="10" t="s">
        <v>56</v>
      </c>
      <c r="AJ103" s="11" t="str">
        <f t="shared" si="69"/>
        <v/>
      </c>
      <c r="AK103" s="10" t="s">
        <v>48</v>
      </c>
      <c r="AL103" s="11" t="str">
        <f t="shared" si="70"/>
        <v/>
      </c>
      <c r="AM103" s="10" t="s">
        <v>45</v>
      </c>
      <c r="AN103" s="11" t="str">
        <f t="shared" si="71"/>
        <v/>
      </c>
      <c r="AO103" s="10" t="s">
        <v>57</v>
      </c>
      <c r="AP103" s="11" t="str">
        <f t="shared" si="72"/>
        <v/>
      </c>
      <c r="AQ103" s="10" t="s">
        <v>57</v>
      </c>
      <c r="AR103" s="11" t="str">
        <f t="shared" si="73"/>
        <v/>
      </c>
      <c r="AS103" s="10" t="s">
        <v>48</v>
      </c>
      <c r="AT103" s="11" t="str">
        <f t="shared" si="74"/>
        <v/>
      </c>
      <c r="AU103" s="10" t="s">
        <v>37</v>
      </c>
      <c r="AV103" s="11" t="str">
        <f t="shared" si="75"/>
        <v/>
      </c>
      <c r="AW103" s="11" t="str">
        <f t="shared" si="76"/>
        <v/>
      </c>
      <c r="AX103" s="11" t="str">
        <f t="shared" si="77"/>
        <v/>
      </c>
    </row>
    <row r="104" spans="1:50" ht="18" customHeight="1" x14ac:dyDescent="0.25">
      <c r="A104" s="9">
        <v>1.958333333333333</v>
      </c>
      <c r="B104" s="18" t="s">
        <v>102</v>
      </c>
      <c r="C104" s="10"/>
      <c r="D104" s="1" t="s">
        <v>104</v>
      </c>
      <c r="E104" s="10" t="s">
        <v>33</v>
      </c>
      <c r="F104" s="11" t="str">
        <f t="shared" si="54"/>
        <v/>
      </c>
      <c r="G104" s="10" t="s">
        <v>36</v>
      </c>
      <c r="H104" s="11" t="str">
        <f t="shared" si="55"/>
        <v/>
      </c>
      <c r="I104" s="10" t="s">
        <v>33</v>
      </c>
      <c r="J104" s="11" t="str">
        <f t="shared" si="56"/>
        <v/>
      </c>
      <c r="K104" s="10" t="s">
        <v>38</v>
      </c>
      <c r="L104" s="11" t="str">
        <f t="shared" si="57"/>
        <v/>
      </c>
      <c r="M104" s="10" t="s">
        <v>49</v>
      </c>
      <c r="N104" s="11" t="str">
        <f t="shared" si="58"/>
        <v/>
      </c>
      <c r="O104" s="10" t="s">
        <v>49</v>
      </c>
      <c r="P104" s="11" t="str">
        <f t="shared" si="59"/>
        <v/>
      </c>
      <c r="Q104" s="10" t="s">
        <v>43</v>
      </c>
      <c r="R104" s="11" t="str">
        <f t="shared" si="60"/>
        <v/>
      </c>
      <c r="S104" s="10" t="s">
        <v>33</v>
      </c>
      <c r="T104" s="11" t="str">
        <f t="shared" si="61"/>
        <v/>
      </c>
      <c r="U104" s="10" t="s">
        <v>33</v>
      </c>
      <c r="V104" s="11" t="str">
        <f t="shared" si="62"/>
        <v/>
      </c>
      <c r="W104" s="10" t="s">
        <v>35</v>
      </c>
      <c r="X104" s="11" t="str">
        <f t="shared" si="63"/>
        <v/>
      </c>
      <c r="Y104" s="10" t="s">
        <v>33</v>
      </c>
      <c r="Z104" s="11" t="str">
        <f t="shared" si="64"/>
        <v/>
      </c>
      <c r="AA104" s="10" t="s">
        <v>35</v>
      </c>
      <c r="AB104" s="11" t="str">
        <f t="shared" si="65"/>
        <v/>
      </c>
      <c r="AC104" s="28" t="s">
        <v>35</v>
      </c>
      <c r="AD104" s="11" t="str">
        <f t="shared" si="66"/>
        <v/>
      </c>
      <c r="AE104" s="10" t="s">
        <v>35</v>
      </c>
      <c r="AF104" s="11" t="str">
        <f t="shared" si="67"/>
        <v/>
      </c>
      <c r="AG104" s="10" t="s">
        <v>33</v>
      </c>
      <c r="AH104" s="11" t="str">
        <f t="shared" si="68"/>
        <v/>
      </c>
      <c r="AI104" s="10" t="s">
        <v>39</v>
      </c>
      <c r="AJ104" s="11" t="str">
        <f t="shared" si="69"/>
        <v/>
      </c>
      <c r="AK104" s="10" t="s">
        <v>33</v>
      </c>
      <c r="AL104" s="11" t="str">
        <f t="shared" si="70"/>
        <v/>
      </c>
      <c r="AM104" s="10" t="s">
        <v>35</v>
      </c>
      <c r="AN104" s="11" t="str">
        <f t="shared" si="71"/>
        <v/>
      </c>
      <c r="AO104" s="10" t="s">
        <v>33</v>
      </c>
      <c r="AP104" s="11" t="str">
        <f t="shared" si="72"/>
        <v/>
      </c>
      <c r="AQ104" s="10" t="s">
        <v>35</v>
      </c>
      <c r="AR104" s="11" t="str">
        <f t="shared" si="73"/>
        <v/>
      </c>
      <c r="AS104" s="10" t="s">
        <v>35</v>
      </c>
      <c r="AT104" s="11" t="str">
        <f t="shared" si="74"/>
        <v/>
      </c>
      <c r="AU104" s="10" t="s">
        <v>35</v>
      </c>
      <c r="AV104" s="11" t="str">
        <f t="shared" si="75"/>
        <v/>
      </c>
      <c r="AW104" s="11" t="str">
        <f t="shared" si="76"/>
        <v/>
      </c>
      <c r="AX104" s="11" t="str">
        <f t="shared" si="77"/>
        <v/>
      </c>
    </row>
    <row r="105" spans="1:50" ht="18" customHeight="1" x14ac:dyDescent="0.2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00000000000001" customHeight="1" x14ac:dyDescent="0.25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4"/>
      <c r="AT106" s="34"/>
      <c r="AU106" s="35"/>
      <c r="AV106" s="36"/>
      <c r="AW106" s="8"/>
      <c r="AX106" s="8"/>
    </row>
    <row r="107" spans="1:50" ht="18" customHeight="1" x14ac:dyDescent="0.25">
      <c r="A107" s="9">
        <v>1.0625</v>
      </c>
      <c r="B107" s="18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/>
      </c>
      <c r="G107" s="10" t="s">
        <v>56</v>
      </c>
      <c r="H107" s="11" t="str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/>
      </c>
      <c r="I107" s="10" t="s">
        <v>45</v>
      </c>
      <c r="J107" s="11" t="str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/>
      </c>
      <c r="K107" s="10" t="s">
        <v>45</v>
      </c>
      <c r="L107" s="11" t="str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/>
      </c>
      <c r="M107" s="10" t="s">
        <v>49</v>
      </c>
      <c r="N107" s="11" t="str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/>
      </c>
      <c r="O107" s="10" t="s">
        <v>37</v>
      </c>
      <c r="P107" s="11" t="str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/>
      </c>
      <c r="Q107" s="10" t="s">
        <v>37</v>
      </c>
      <c r="R107" s="11" t="str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/>
      </c>
      <c r="S107" s="10" t="s">
        <v>66</v>
      </c>
      <c r="T107" s="11" t="str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/>
      </c>
      <c r="U107" s="10" t="s">
        <v>37</v>
      </c>
      <c r="V107" s="11" t="str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/>
      </c>
      <c r="W107" s="10" t="s">
        <v>35</v>
      </c>
      <c r="X107" s="11" t="str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/>
      </c>
      <c r="Y107" s="10" t="s">
        <v>35</v>
      </c>
      <c r="Z107" s="11" t="str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/>
      </c>
      <c r="AA107" s="10" t="s">
        <v>57</v>
      </c>
      <c r="AB107" s="11" t="str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/>
      </c>
      <c r="AC107" s="28" t="s">
        <v>57</v>
      </c>
      <c r="AD107" s="11" t="str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/>
      </c>
      <c r="AE107" s="10" t="s">
        <v>37</v>
      </c>
      <c r="AF107" s="11" t="str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/>
      </c>
      <c r="AG107" s="10" t="s">
        <v>37</v>
      </c>
      <c r="AH107" s="11" t="str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/>
      </c>
      <c r="AI107" s="10" t="s">
        <v>66</v>
      </c>
      <c r="AJ107" s="11" t="str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/>
      </c>
      <c r="AK107" s="10" t="s">
        <v>57</v>
      </c>
      <c r="AL107" s="11" t="str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/>
      </c>
      <c r="AM107" s="10" t="s">
        <v>57</v>
      </c>
      <c r="AN107" s="11" t="str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/>
      </c>
      <c r="AO107" s="10" t="s">
        <v>48</v>
      </c>
      <c r="AP107" s="11" t="str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/>
      </c>
      <c r="AQ107" s="10" t="s">
        <v>50</v>
      </c>
      <c r="AR107" s="11" t="str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/>
      </c>
      <c r="AS107" s="10" t="s">
        <v>37</v>
      </c>
      <c r="AT107" s="11" t="str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/>
      </c>
      <c r="AU107" s="10" t="s">
        <v>49</v>
      </c>
      <c r="AV107" s="11" t="str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/>
      </c>
      <c r="AW107" s="11" t="str">
        <f>IF($C107="","",IFERROR(--LEFT($C107,FIND("-",$C107)-1),""))</f>
        <v/>
      </c>
      <c r="AX107" s="11" t="str">
        <f>IF($C107="","",IFERROR(--MID($C107,FIND("-",$C107)+1,99),""))</f>
        <v/>
      </c>
    </row>
    <row r="108" spans="1:50" ht="18" customHeight="1" x14ac:dyDescent="0.25">
      <c r="A108" s="9">
        <v>1.0625</v>
      </c>
      <c r="B108" s="18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/>
      </c>
      <c r="G108" s="10" t="s">
        <v>50</v>
      </c>
      <c r="H108" s="11" t="str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/>
      </c>
      <c r="I108" s="10" t="s">
        <v>35</v>
      </c>
      <c r="J108" s="11" t="str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/>
      </c>
      <c r="K108" s="10" t="s">
        <v>45</v>
      </c>
      <c r="L108" s="11" t="str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/>
      </c>
      <c r="M108" s="10" t="s">
        <v>37</v>
      </c>
      <c r="N108" s="11" t="str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/>
      </c>
      <c r="O108" s="10" t="s">
        <v>50</v>
      </c>
      <c r="P108" s="11" t="str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/>
      </c>
      <c r="Q108" s="10" t="s">
        <v>123</v>
      </c>
      <c r="R108" s="11" t="str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/>
      </c>
      <c r="S108" s="10" t="s">
        <v>33</v>
      </c>
      <c r="T108" s="11" t="str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/>
      </c>
      <c r="U108" s="10" t="s">
        <v>35</v>
      </c>
      <c r="V108" s="11" t="str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/>
      </c>
      <c r="W108" s="10" t="s">
        <v>35</v>
      </c>
      <c r="X108" s="11" t="str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/>
      </c>
      <c r="Y108" s="10" t="s">
        <v>35</v>
      </c>
      <c r="Z108" s="11" t="str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/>
      </c>
      <c r="AA108" s="10" t="s">
        <v>36</v>
      </c>
      <c r="AB108" s="11" t="str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/>
      </c>
      <c r="AC108" s="28" t="s">
        <v>33</v>
      </c>
      <c r="AD108" s="11" t="str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/>
      </c>
      <c r="AE108" s="10" t="s">
        <v>35</v>
      </c>
      <c r="AF108" s="11" t="str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/>
      </c>
      <c r="AG108" s="10" t="s">
        <v>37</v>
      </c>
      <c r="AH108" s="11" t="str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/>
      </c>
      <c r="AI108" s="10" t="s">
        <v>39</v>
      </c>
      <c r="AJ108" s="11" t="str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/>
      </c>
      <c r="AK108" s="10" t="s">
        <v>45</v>
      </c>
      <c r="AL108" s="11" t="str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/>
      </c>
      <c r="AM108" s="10" t="s">
        <v>36</v>
      </c>
      <c r="AN108" s="11" t="str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/>
      </c>
      <c r="AO108" s="10" t="s">
        <v>50</v>
      </c>
      <c r="AP108" s="11" t="str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/>
      </c>
      <c r="AQ108" s="10" t="s">
        <v>37</v>
      </c>
      <c r="AR108" s="11" t="str">
        <f t="shared" si="78"/>
        <v/>
      </c>
      <c r="AS108" s="10" t="s">
        <v>35</v>
      </c>
      <c r="AT108" s="11" t="str">
        <f t="shared" si="79"/>
        <v/>
      </c>
      <c r="AU108" s="10" t="s">
        <v>35</v>
      </c>
      <c r="AV108" s="11" t="str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/>
      </c>
      <c r="AW108" s="11" t="str">
        <f>IF($C108="","",IFERROR(--LEFT($C108,FIND("-",$C108)-1),""))</f>
        <v/>
      </c>
      <c r="AX108" s="11" t="str">
        <f>IF($C108="","",IFERROR(--MID($C108,FIND("-",$C108)+1,99),""))</f>
        <v/>
      </c>
    </row>
    <row r="109" spans="1:50" ht="18" customHeight="1" x14ac:dyDescent="0.25">
      <c r="A109" s="9">
        <v>1.166666666666667</v>
      </c>
      <c r="B109" s="18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56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45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45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33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37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45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49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35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35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35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35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8" t="s">
        <v>61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35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35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45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35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45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33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33</v>
      </c>
      <c r="AR109" s="11" t="str">
        <f t="shared" si="78"/>
        <v/>
      </c>
      <c r="AS109" s="10" t="s">
        <v>50</v>
      </c>
      <c r="AT109" s="11" t="str">
        <f t="shared" si="79"/>
        <v/>
      </c>
      <c r="AU109" s="10" t="s">
        <v>37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11" t="str">
        <f>IF($C109="","",IFERROR(--MID($C109,FIND("-",$C109)+1,99),""))</f>
        <v/>
      </c>
    </row>
    <row r="110" spans="1:50" ht="18" customHeight="1" x14ac:dyDescent="0.25">
      <c r="A110" s="9">
        <v>1.166666666666667</v>
      </c>
      <c r="B110" s="18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8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 t="shared" si="78"/>
        <v/>
      </c>
      <c r="AS110" s="10" t="s">
        <v>45</v>
      </c>
      <c r="AT110" s="11" t="str">
        <f t="shared" si="79"/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2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2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00000000000001" customHeight="1" x14ac:dyDescent="0.25">
      <c r="A113" s="38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4"/>
      <c r="AT113" s="34"/>
      <c r="AU113" s="35"/>
      <c r="AV113" s="36"/>
      <c r="AW113" s="7"/>
      <c r="AX113" s="7"/>
    </row>
    <row r="114" spans="1:50" ht="20.100000000000001" customHeight="1" x14ac:dyDescent="0.25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4"/>
      <c r="AT114" s="34"/>
      <c r="AU114" s="35"/>
      <c r="AV114" s="36"/>
      <c r="AW114" s="8"/>
      <c r="AX114" s="8"/>
    </row>
    <row r="115" spans="1:50" ht="18" customHeight="1" x14ac:dyDescent="0.25">
      <c r="A115" s="9">
        <v>1.875</v>
      </c>
      <c r="B115" s="18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2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00000000000001" customHeight="1" x14ac:dyDescent="0.25">
      <c r="A117" s="33" t="s">
        <v>131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4"/>
      <c r="AT117" s="34"/>
      <c r="AU117" s="35"/>
      <c r="AV117" s="36"/>
      <c r="AW117" s="8"/>
      <c r="AX117" s="8"/>
    </row>
    <row r="118" spans="1:50" ht="18" customHeight="1" x14ac:dyDescent="0.25">
      <c r="A118" s="9">
        <v>1.791666666666667</v>
      </c>
      <c r="B118" s="18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25">
      <c r="A119" s="9">
        <v>1.9375</v>
      </c>
      <c r="B119" s="18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2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00000000000001" customHeight="1" x14ac:dyDescent="0.25">
      <c r="A121" s="33" t="s">
        <v>136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4"/>
      <c r="AT121" s="34"/>
      <c r="AU121" s="35"/>
      <c r="AV121" s="36"/>
      <c r="AW121" s="8"/>
      <c r="AX121" s="8"/>
    </row>
    <row r="122" spans="1:50" ht="18" customHeight="1" x14ac:dyDescent="0.25">
      <c r="A122" s="9">
        <v>1.125</v>
      </c>
      <c r="B122" s="18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25">
      <c r="A123" s="9">
        <v>1.791666666666667</v>
      </c>
      <c r="B123" s="18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25">
      <c r="A124" s="9">
        <v>1.958333333333333</v>
      </c>
      <c r="B124" s="18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2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00000000000001" customHeight="1" x14ac:dyDescent="0.25">
      <c r="A126" s="33" t="s">
        <v>143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4"/>
      <c r="AT126" s="34"/>
      <c r="AU126" s="35"/>
      <c r="AV126" s="36"/>
      <c r="AW126" s="8"/>
      <c r="AX126" s="8"/>
    </row>
    <row r="127" spans="1:50" ht="18" customHeight="1" x14ac:dyDescent="0.25">
      <c r="A127" s="9">
        <v>1.125</v>
      </c>
      <c r="B127" s="18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25">
      <c r="A128" s="9">
        <v>1.75</v>
      </c>
      <c r="B128" s="18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25">
      <c r="A129" s="9">
        <v>1.916666666666667</v>
      </c>
      <c r="B129" s="18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2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00000000000001" customHeight="1" x14ac:dyDescent="0.25">
      <c r="A131" s="33" t="s">
        <v>150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4"/>
      <c r="AT131" s="34"/>
      <c r="AU131" s="35"/>
      <c r="AV131" s="36"/>
      <c r="AW131" s="8"/>
      <c r="AX131" s="8"/>
    </row>
    <row r="132" spans="1:50" ht="18" customHeight="1" x14ac:dyDescent="0.25">
      <c r="A132" s="9">
        <v>1.083333333333333</v>
      </c>
      <c r="B132" s="18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25">
      <c r="A133" s="9">
        <v>1.875</v>
      </c>
      <c r="B133" s="18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2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00000000000001" customHeight="1" x14ac:dyDescent="0.25">
      <c r="A135" s="33" t="s">
        <v>155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4"/>
      <c r="AT135" s="34"/>
      <c r="AU135" s="35"/>
      <c r="AV135" s="36"/>
      <c r="AW135" s="8"/>
      <c r="AX135" s="8"/>
    </row>
    <row r="136" spans="1:50" ht="18" customHeight="1" x14ac:dyDescent="0.25">
      <c r="A136" s="9">
        <v>1.041666666666667</v>
      </c>
      <c r="B136" s="18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25">
      <c r="A137" s="9">
        <v>1.208333333333333</v>
      </c>
      <c r="B137" s="18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25">
      <c r="A138" s="9">
        <v>1.833333333333333</v>
      </c>
      <c r="B138" s="18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2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00000000000001" customHeight="1" x14ac:dyDescent="0.25">
      <c r="A140" s="33" t="s">
        <v>162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4"/>
      <c r="AT140" s="34"/>
      <c r="AU140" s="35"/>
      <c r="AV140" s="36"/>
      <c r="AW140" s="8"/>
      <c r="AX140" s="8"/>
    </row>
    <row r="141" spans="1:50" ht="18" customHeight="1" x14ac:dyDescent="0.25">
      <c r="A141" s="9">
        <v>1</v>
      </c>
      <c r="B141" s="18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25">
      <c r="A142" s="9">
        <v>1.145833333333333</v>
      </c>
      <c r="B142" s="18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2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2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00000000000001" customHeight="1" x14ac:dyDescent="0.25">
      <c r="A145" s="38" t="s">
        <v>167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4"/>
      <c r="AT145" s="34"/>
      <c r="AU145" s="35"/>
      <c r="AV145" s="36"/>
      <c r="AW145" s="7"/>
      <c r="AX145" s="7"/>
    </row>
    <row r="146" spans="1:50" ht="20.100000000000001" customHeight="1" x14ac:dyDescent="0.25">
      <c r="A146" s="33" t="s">
        <v>162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4"/>
      <c r="AT146" s="34"/>
      <c r="AU146" s="35"/>
      <c r="AV146" s="36"/>
      <c r="AW146" s="8"/>
      <c r="AX146" s="8"/>
    </row>
    <row r="147" spans="1:50" ht="18" customHeight="1" x14ac:dyDescent="0.25">
      <c r="A147" s="9">
        <v>1.791666666666667</v>
      </c>
      <c r="B147" s="18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25">
      <c r="A148" s="9">
        <v>1.958333333333333</v>
      </c>
      <c r="B148" s="18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2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00000000000001" customHeight="1" x14ac:dyDescent="0.25">
      <c r="A150" s="33" t="s">
        <v>172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4"/>
      <c r="AT150" s="34"/>
      <c r="AU150" s="35"/>
      <c r="AV150" s="36"/>
      <c r="AW150" s="8"/>
      <c r="AX150" s="8"/>
    </row>
    <row r="151" spans="1:50" ht="18" customHeight="1" x14ac:dyDescent="0.25">
      <c r="A151" s="9">
        <v>1.916666666666667</v>
      </c>
      <c r="B151" s="18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2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00000000000001" customHeight="1" x14ac:dyDescent="0.25">
      <c r="A153" s="33" t="s">
        <v>175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4"/>
      <c r="AT153" s="34"/>
      <c r="AU153" s="35"/>
      <c r="AV153" s="36"/>
      <c r="AW153" s="8"/>
      <c r="AX153" s="8"/>
    </row>
    <row r="154" spans="1:50" ht="18" customHeight="1" x14ac:dyDescent="0.25">
      <c r="A154" s="9">
        <v>1.083333333333333</v>
      </c>
      <c r="B154" s="18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25">
      <c r="A155" s="9">
        <v>1.875</v>
      </c>
      <c r="B155" s="18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2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00000000000001" customHeight="1" x14ac:dyDescent="0.25">
      <c r="A157" s="33" t="s">
        <v>180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4"/>
      <c r="AT157" s="34"/>
      <c r="AU157" s="35"/>
      <c r="AV157" s="36"/>
      <c r="AW157" s="8"/>
      <c r="AX157" s="8"/>
    </row>
    <row r="158" spans="1:50" ht="18" customHeight="1" x14ac:dyDescent="0.25">
      <c r="A158" s="9">
        <v>1.083333333333333</v>
      </c>
      <c r="B158" s="18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25">
      <c r="A159" s="9">
        <v>1.75</v>
      </c>
      <c r="B159" s="18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25">
      <c r="A160" s="9">
        <v>1.916666666666667</v>
      </c>
      <c r="B160" s="18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2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2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00000000000001" customHeight="1" x14ac:dyDescent="0.25">
      <c r="A163" s="38" t="s">
        <v>187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4"/>
      <c r="AT163" s="34"/>
      <c r="AU163" s="35"/>
      <c r="AV163" s="36"/>
      <c r="AW163" s="7"/>
      <c r="AX163" s="7"/>
    </row>
    <row r="164" spans="1:50" ht="20.100000000000001" customHeight="1" x14ac:dyDescent="0.25">
      <c r="A164" s="33" t="s">
        <v>188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4"/>
      <c r="AT164" s="34"/>
      <c r="AU164" s="35"/>
      <c r="AV164" s="36"/>
      <c r="AW164" s="8"/>
      <c r="AX164" s="8"/>
    </row>
    <row r="165" spans="1:50" ht="18" customHeight="1" x14ac:dyDescent="0.25">
      <c r="A165" s="9">
        <v>1.916666666666667</v>
      </c>
      <c r="B165" s="18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2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00000000000001" customHeight="1" x14ac:dyDescent="0.25">
      <c r="A167" s="33" t="s">
        <v>191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4"/>
      <c r="AT167" s="34"/>
      <c r="AU167" s="35"/>
      <c r="AV167" s="36"/>
      <c r="AW167" s="8"/>
      <c r="AX167" s="8"/>
    </row>
    <row r="168" spans="1:50" ht="18" customHeight="1" x14ac:dyDescent="0.25">
      <c r="A168" s="9">
        <v>1.875</v>
      </c>
      <c r="B168" s="18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2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00000000000001" customHeight="1" x14ac:dyDescent="0.25">
      <c r="A170" s="33" t="s">
        <v>194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4"/>
      <c r="AT170" s="34"/>
      <c r="AU170" s="35"/>
      <c r="AV170" s="36"/>
      <c r="AW170" s="8"/>
      <c r="AX170" s="8"/>
    </row>
    <row r="171" spans="1:50" ht="18" customHeight="1" x14ac:dyDescent="0.25">
      <c r="A171" s="9">
        <v>1.958333333333333</v>
      </c>
      <c r="B171" s="18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2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00000000000001" customHeight="1" x14ac:dyDescent="0.25">
      <c r="A173" s="33" t="s">
        <v>197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4"/>
      <c r="AT173" s="34"/>
      <c r="AU173" s="35"/>
      <c r="AV173" s="36"/>
      <c r="AW173" s="8"/>
      <c r="AX173" s="8"/>
    </row>
    <row r="174" spans="1:50" ht="18" customHeight="1" x14ac:dyDescent="0.25">
      <c r="A174" s="9">
        <v>1.125</v>
      </c>
      <c r="B174" s="18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2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2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00000000000001" customHeight="1" x14ac:dyDescent="0.25">
      <c r="A177" s="38" t="s">
        <v>200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4"/>
      <c r="AT177" s="34"/>
      <c r="AU177" s="35"/>
      <c r="AV177" s="36"/>
      <c r="AW177" s="7"/>
      <c r="AX177" s="7"/>
    </row>
    <row r="178" spans="1:50" ht="20.100000000000001" customHeight="1" x14ac:dyDescent="0.25">
      <c r="A178" s="33" t="s">
        <v>201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4"/>
      <c r="AT178" s="34"/>
      <c r="AU178" s="35"/>
      <c r="AV178" s="36"/>
      <c r="AW178" s="8"/>
      <c r="AX178" s="8"/>
    </row>
    <row r="179" spans="1:50" ht="18" customHeight="1" x14ac:dyDescent="0.25">
      <c r="A179" s="9">
        <v>1.875</v>
      </c>
      <c r="B179" s="18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2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00000000000001" customHeight="1" x14ac:dyDescent="0.25">
      <c r="A181" s="33" t="s">
        <v>204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4"/>
      <c r="AT181" s="34"/>
      <c r="AU181" s="35"/>
      <c r="AV181" s="36"/>
      <c r="AW181" s="8"/>
      <c r="AX181" s="8"/>
    </row>
    <row r="182" spans="1:50" ht="18" customHeight="1" x14ac:dyDescent="0.25">
      <c r="A182" s="9">
        <v>1.875</v>
      </c>
      <c r="B182" s="18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2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2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00000000000001" customHeight="1" x14ac:dyDescent="0.25">
      <c r="A185" s="38" t="s">
        <v>207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4"/>
      <c r="AT185" s="34"/>
      <c r="AU185" s="35"/>
      <c r="AV185" s="36"/>
      <c r="AW185" s="7"/>
      <c r="AX185" s="7"/>
    </row>
    <row r="186" spans="1:50" ht="20.100000000000001" customHeight="1" x14ac:dyDescent="0.25">
      <c r="A186" s="33" t="s">
        <v>208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4"/>
      <c r="AT186" s="34"/>
      <c r="AU186" s="35"/>
      <c r="AV186" s="36"/>
      <c r="AW186" s="8"/>
      <c r="AX186" s="8"/>
    </row>
    <row r="187" spans="1:50" ht="18" customHeight="1" x14ac:dyDescent="0.25">
      <c r="A187" s="9">
        <v>1.958333333333333</v>
      </c>
      <c r="B187" s="18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2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2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00000000000001" customHeight="1" x14ac:dyDescent="0.25">
      <c r="A190" s="38" t="s">
        <v>211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4"/>
      <c r="AT190" s="34"/>
      <c r="AU190" s="35"/>
      <c r="AV190" s="36"/>
      <c r="AW190" s="7"/>
      <c r="AX190" s="7"/>
    </row>
    <row r="191" spans="1:50" ht="20.100000000000001" customHeight="1" x14ac:dyDescent="0.25">
      <c r="A191" s="33" t="s">
        <v>212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4"/>
      <c r="AT191" s="34"/>
      <c r="AU191" s="35"/>
      <c r="AV191" s="36"/>
      <c r="AW191" s="8"/>
      <c r="AX191" s="8"/>
    </row>
    <row r="192" spans="1:50" ht="18" customHeight="1" x14ac:dyDescent="0.25">
      <c r="A192" s="9">
        <v>1.875</v>
      </c>
      <c r="B192" s="18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2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2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A12" sqref="A12:XFD12"/>
    </sheetView>
  </sheetViews>
  <sheetFormatPr defaultRowHeight="15" x14ac:dyDescent="0.25"/>
  <cols>
    <col min="1" max="1" width="4" customWidth="1"/>
    <col min="2" max="2" width="75.28515625" customWidth="1"/>
    <col min="3" max="3" width="28" customWidth="1"/>
    <col min="4" max="4" width="12.5703125" style="23" customWidth="1"/>
    <col min="5" max="5" width="10.5703125" customWidth="1"/>
    <col min="6" max="6" width="12.5703125" customWidth="1"/>
    <col min="7" max="7" width="10.5703125" customWidth="1"/>
    <col min="8" max="8" width="12.5703125" customWidth="1"/>
    <col min="9" max="9" width="10.5703125" customWidth="1"/>
    <col min="10" max="10" width="12.5703125" customWidth="1"/>
    <col min="11" max="11" width="10.5703125" customWidth="1"/>
    <col min="12" max="12" width="12.5703125" customWidth="1"/>
    <col min="13" max="13" width="10.5703125" customWidth="1"/>
    <col min="14" max="14" width="12.5703125" style="23" customWidth="1"/>
    <col min="15" max="15" width="10.5703125" customWidth="1"/>
    <col min="16" max="16" width="12.5703125" style="23" customWidth="1"/>
    <col min="17" max="17" width="10.5703125" customWidth="1"/>
    <col min="18" max="18" width="12.5703125" style="23" customWidth="1"/>
    <col min="19" max="19" width="10.5703125" customWidth="1"/>
    <col min="20" max="20" width="12.5703125" customWidth="1"/>
    <col min="21" max="21" width="10.5703125" customWidth="1"/>
    <col min="22" max="22" width="12.5703125" style="23" customWidth="1"/>
    <col min="23" max="23" width="10.5703125" customWidth="1"/>
    <col min="24" max="24" width="12.5703125" style="23" customWidth="1"/>
    <col min="25" max="25" width="10.5703125" customWidth="1"/>
    <col min="26" max="26" width="12.5703125" style="23" customWidth="1"/>
    <col min="27" max="27" width="10.5703125" customWidth="1"/>
    <col min="28" max="28" width="12.5703125" style="23" customWidth="1"/>
    <col min="29" max="29" width="10.5703125" customWidth="1"/>
    <col min="30" max="30" width="12.5703125" style="23" customWidth="1"/>
    <col min="31" max="31" width="10.5703125" customWidth="1"/>
    <col min="32" max="32" width="12.5703125" style="23" customWidth="1"/>
    <col min="33" max="33" width="10.5703125" customWidth="1"/>
    <col min="34" max="34" width="12.5703125" style="23" customWidth="1"/>
    <col min="35" max="35" width="10.5703125" customWidth="1"/>
    <col min="36" max="36" width="12.5703125" style="23" customWidth="1"/>
    <col min="37" max="37" width="10.5703125" customWidth="1"/>
    <col min="38" max="38" width="12.5703125" style="23" customWidth="1"/>
    <col min="39" max="39" width="10.5703125" customWidth="1"/>
    <col min="40" max="40" width="12.5703125" style="23" customWidth="1"/>
    <col min="41" max="41" width="10.5703125" customWidth="1"/>
    <col min="42" max="42" width="12.5703125" customWidth="1"/>
    <col min="43" max="43" width="10.5703125" customWidth="1"/>
    <col min="44" max="44" width="12.5703125" style="23" customWidth="1"/>
    <col min="45" max="45" width="10.5703125" customWidth="1"/>
    <col min="46" max="46" width="12.5703125" style="23" customWidth="1"/>
    <col min="47" max="47" width="10.5703125" customWidth="1"/>
  </cols>
  <sheetData>
    <row r="1" spans="1:47" x14ac:dyDescent="0.25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37" t="str">
        <f>Wedstrijden_beheer!AS1</f>
        <v>Andre</v>
      </c>
      <c r="AS1" s="39"/>
      <c r="AT1" s="37" t="str">
        <f>Wedstrijden_beheer!AU1</f>
        <v>Raymond</v>
      </c>
      <c r="AU1" s="39"/>
    </row>
    <row r="2" spans="1:47" s="32" customFormat="1" ht="14.45" customHeight="1" x14ac:dyDescent="0.25">
      <c r="A2" s="21"/>
      <c r="B2" s="25" t="s">
        <v>215</v>
      </c>
      <c r="C2" s="21" t="s">
        <v>216</v>
      </c>
      <c r="D2" s="24" t="s">
        <v>217</v>
      </c>
      <c r="E2" s="21" t="s">
        <v>28</v>
      </c>
      <c r="F2" s="21" t="s">
        <v>217</v>
      </c>
      <c r="G2" s="21" t="s">
        <v>28</v>
      </c>
      <c r="H2" s="21" t="s">
        <v>217</v>
      </c>
      <c r="I2" s="21" t="s">
        <v>28</v>
      </c>
      <c r="J2" s="21" t="s">
        <v>217</v>
      </c>
      <c r="K2" s="21" t="s">
        <v>28</v>
      </c>
      <c r="L2" s="21" t="s">
        <v>217</v>
      </c>
      <c r="M2" s="21" t="s">
        <v>28</v>
      </c>
      <c r="N2" s="24" t="s">
        <v>217</v>
      </c>
      <c r="O2" s="21" t="s">
        <v>28</v>
      </c>
      <c r="P2" s="24" t="s">
        <v>217</v>
      </c>
      <c r="Q2" s="21" t="s">
        <v>28</v>
      </c>
      <c r="R2" s="24" t="s">
        <v>217</v>
      </c>
      <c r="S2" s="21" t="s">
        <v>28</v>
      </c>
      <c r="T2" s="21" t="s">
        <v>217</v>
      </c>
      <c r="U2" s="21" t="s">
        <v>28</v>
      </c>
      <c r="V2" s="24" t="s">
        <v>217</v>
      </c>
      <c r="W2" s="21" t="s">
        <v>28</v>
      </c>
      <c r="X2" s="24" t="s">
        <v>217</v>
      </c>
      <c r="Y2" s="21" t="s">
        <v>28</v>
      </c>
      <c r="Z2" s="24" t="s">
        <v>217</v>
      </c>
      <c r="AA2" s="21" t="s">
        <v>28</v>
      </c>
      <c r="AB2" s="24" t="s">
        <v>217</v>
      </c>
      <c r="AC2" s="21" t="s">
        <v>28</v>
      </c>
      <c r="AD2" s="24" t="s">
        <v>217</v>
      </c>
      <c r="AE2" s="21" t="s">
        <v>28</v>
      </c>
      <c r="AF2" s="24" t="s">
        <v>217</v>
      </c>
      <c r="AG2" s="21" t="s">
        <v>28</v>
      </c>
      <c r="AH2" s="24" t="s">
        <v>217</v>
      </c>
      <c r="AI2" s="21" t="s">
        <v>28</v>
      </c>
      <c r="AJ2" s="24" t="s">
        <v>217</v>
      </c>
      <c r="AK2" s="21" t="s">
        <v>28</v>
      </c>
      <c r="AL2" s="8" t="s">
        <v>217</v>
      </c>
      <c r="AM2" s="21" t="s">
        <v>28</v>
      </c>
      <c r="AN2" s="24" t="s">
        <v>217</v>
      </c>
      <c r="AO2" s="21" t="s">
        <v>28</v>
      </c>
      <c r="AP2" s="21" t="s">
        <v>217</v>
      </c>
      <c r="AQ2" s="21" t="s">
        <v>28</v>
      </c>
      <c r="AR2" s="24" t="s">
        <v>217</v>
      </c>
      <c r="AS2" s="21" t="s">
        <v>28</v>
      </c>
      <c r="AT2" s="24" t="s">
        <v>217</v>
      </c>
      <c r="AU2" s="21" t="s">
        <v>28</v>
      </c>
    </row>
    <row r="3" spans="1:47" ht="14.45" customHeight="1" x14ac:dyDescent="0.25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5" customHeight="1" x14ac:dyDescent="0.25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5" customHeight="1" x14ac:dyDescent="0.25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5" customHeight="1" x14ac:dyDescent="0.25">
      <c r="A6" s="11">
        <v>4</v>
      </c>
      <c r="B6" s="1" t="s">
        <v>223</v>
      </c>
      <c r="C6" s="1"/>
      <c r="D6" s="28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3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325</v>
      </c>
      <c r="AS6" s="11" t="str">
        <f t="shared" si="20"/>
        <v/>
      </c>
      <c r="AT6" s="10" t="s">
        <v>224</v>
      </c>
      <c r="AU6" s="11" t="str">
        <f t="shared" si="21"/>
        <v/>
      </c>
    </row>
    <row r="7" spans="1:47" ht="14.45" customHeight="1" x14ac:dyDescent="0.25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5" customHeight="1" x14ac:dyDescent="0.25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5" customHeight="1" x14ac:dyDescent="0.25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235</v>
      </c>
      <c r="AS9" s="11" t="str">
        <f t="shared" si="20"/>
        <v/>
      </c>
      <c r="AT9" s="10" t="s">
        <v>236</v>
      </c>
      <c r="AU9" s="11" t="str">
        <f t="shared" si="21"/>
        <v/>
      </c>
    </row>
    <row r="10" spans="1:47" ht="14.45" customHeight="1" x14ac:dyDescent="0.25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3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243</v>
      </c>
      <c r="AS10" s="11" t="str">
        <f t="shared" si="20"/>
        <v/>
      </c>
      <c r="AT10" s="10" t="s">
        <v>244</v>
      </c>
      <c r="AU10" s="11" t="str">
        <f t="shared" si="21"/>
        <v/>
      </c>
    </row>
    <row r="11" spans="1:47" ht="14.45" customHeight="1" x14ac:dyDescent="0.25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3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326</v>
      </c>
      <c r="AS11" s="11" t="str">
        <f t="shared" si="20"/>
        <v/>
      </c>
      <c r="AT11" s="10" t="s">
        <v>231</v>
      </c>
      <c r="AU11" s="11" t="str">
        <f t="shared" si="21"/>
        <v/>
      </c>
    </row>
    <row r="12" spans="1:47" ht="14.45" customHeight="1" x14ac:dyDescent="0.25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242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3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254</v>
      </c>
      <c r="AS12" s="11" t="str">
        <f t="shared" si="20"/>
        <v/>
      </c>
      <c r="AT12" s="10" t="s">
        <v>244</v>
      </c>
      <c r="AU12" s="11" t="str">
        <f t="shared" si="21"/>
        <v/>
      </c>
    </row>
    <row r="13" spans="1:47" ht="14.45" customHeight="1" x14ac:dyDescent="0.25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263</v>
      </c>
      <c r="M13" s="11" t="str">
        <f t="shared" si="4"/>
        <v/>
      </c>
      <c r="N13" s="10" t="s">
        <v>261</v>
      </c>
      <c r="O13" s="11" t="str">
        <f t="shared" si="5"/>
        <v/>
      </c>
      <c r="P13" s="10" t="s">
        <v>262</v>
      </c>
      <c r="Q13" s="11" t="str">
        <f t="shared" si="6"/>
        <v/>
      </c>
      <c r="R13" s="23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3" t="s">
        <v>239</v>
      </c>
      <c r="AC13" s="11" t="str">
        <f t="shared" si="12"/>
        <v/>
      </c>
      <c r="AD13" s="10" t="s">
        <v>249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263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264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327</v>
      </c>
      <c r="AS13" s="11" t="str">
        <f t="shared" si="20"/>
        <v/>
      </c>
      <c r="AT13" s="10" t="s">
        <v>244</v>
      </c>
      <c r="AU13" s="11" t="str">
        <f t="shared" si="21"/>
        <v/>
      </c>
    </row>
    <row r="14" spans="1:47" ht="14.45" customHeight="1" x14ac:dyDescent="0.25">
      <c r="A14" s="11">
        <v>12</v>
      </c>
      <c r="B14" s="1" t="s">
        <v>265</v>
      </c>
      <c r="C14" s="1"/>
      <c r="D14" s="10" t="s">
        <v>266</v>
      </c>
      <c r="E14" s="11" t="str">
        <f t="shared" si="0"/>
        <v/>
      </c>
      <c r="F14" s="10" t="s">
        <v>267</v>
      </c>
      <c r="G14" s="11" t="str">
        <f t="shared" si="1"/>
        <v/>
      </c>
      <c r="H14" s="10" t="s">
        <v>268</v>
      </c>
      <c r="I14" s="11" t="str">
        <f t="shared" si="2"/>
        <v/>
      </c>
      <c r="J14" s="10" t="s">
        <v>269</v>
      </c>
      <c r="K14" s="11" t="str">
        <f t="shared" si="3"/>
        <v/>
      </c>
      <c r="L14" s="10" t="s">
        <v>270</v>
      </c>
      <c r="M14" s="11" t="str">
        <f t="shared" si="4"/>
        <v/>
      </c>
      <c r="N14" s="10" t="s">
        <v>271</v>
      </c>
      <c r="O14" s="11" t="str">
        <f t="shared" si="5"/>
        <v/>
      </c>
      <c r="P14" s="10" t="s">
        <v>269</v>
      </c>
      <c r="Q14" s="11" t="str">
        <f t="shared" si="6"/>
        <v/>
      </c>
      <c r="R14" s="10" t="s">
        <v>268</v>
      </c>
      <c r="S14" s="11" t="str">
        <f t="shared" si="7"/>
        <v/>
      </c>
      <c r="T14" s="10" t="s">
        <v>269</v>
      </c>
      <c r="U14" s="11" t="str">
        <f t="shared" si="8"/>
        <v/>
      </c>
      <c r="V14" s="10" t="s">
        <v>268</v>
      </c>
      <c r="W14" s="11" t="str">
        <f t="shared" si="9"/>
        <v/>
      </c>
      <c r="X14" s="10" t="s">
        <v>270</v>
      </c>
      <c r="Y14" s="11" t="str">
        <f t="shared" si="10"/>
        <v/>
      </c>
      <c r="Z14" s="10" t="s">
        <v>271</v>
      </c>
      <c r="AA14" s="11" t="str">
        <f t="shared" si="11"/>
        <v/>
      </c>
      <c r="AB14" s="23" t="s">
        <v>266</v>
      </c>
      <c r="AC14" s="11" t="str">
        <f t="shared" si="12"/>
        <v/>
      </c>
      <c r="AD14" s="10" t="s">
        <v>267</v>
      </c>
      <c r="AE14" s="11" t="str">
        <f t="shared" si="13"/>
        <v/>
      </c>
      <c r="AF14" s="10" t="s">
        <v>267</v>
      </c>
      <c r="AG14" s="11" t="str">
        <f t="shared" si="14"/>
        <v/>
      </c>
      <c r="AH14" s="10" t="s">
        <v>271</v>
      </c>
      <c r="AI14" s="11" t="str">
        <f t="shared" si="15"/>
        <v/>
      </c>
      <c r="AJ14" s="10" t="s">
        <v>272</v>
      </c>
      <c r="AK14" s="11" t="str">
        <f t="shared" si="16"/>
        <v/>
      </c>
      <c r="AL14" s="10" t="s">
        <v>273</v>
      </c>
      <c r="AM14" s="11" t="str">
        <f t="shared" si="17"/>
        <v/>
      </c>
      <c r="AN14" s="10" t="s">
        <v>273</v>
      </c>
      <c r="AO14" s="11" t="str">
        <f t="shared" si="18"/>
        <v/>
      </c>
      <c r="AP14" s="10" t="s">
        <v>270</v>
      </c>
      <c r="AQ14" s="11" t="str">
        <f t="shared" si="19"/>
        <v/>
      </c>
      <c r="AR14" s="10" t="s">
        <v>273</v>
      </c>
      <c r="AS14" s="11" t="str">
        <f t="shared" si="20"/>
        <v/>
      </c>
      <c r="AT14" s="10" t="s">
        <v>269</v>
      </c>
      <c r="AU14" s="11" t="str">
        <f t="shared" si="21"/>
        <v/>
      </c>
    </row>
    <row r="15" spans="1:47" ht="14.45" customHeight="1" x14ac:dyDescent="0.25">
      <c r="A15" s="11">
        <v>13</v>
      </c>
      <c r="B15" s="1" t="s">
        <v>274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275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5" customHeight="1" x14ac:dyDescent="0.25">
      <c r="A16" s="11">
        <v>14</v>
      </c>
      <c r="B16" s="1" t="s">
        <v>276</v>
      </c>
      <c r="C16" s="1"/>
      <c r="D16" s="10" t="s">
        <v>277</v>
      </c>
      <c r="E16" s="11" t="str">
        <f t="shared" si="0"/>
        <v/>
      </c>
      <c r="F16" s="10" t="s">
        <v>278</v>
      </c>
      <c r="G16" s="11" t="str">
        <f t="shared" si="1"/>
        <v/>
      </c>
      <c r="H16" s="10" t="s">
        <v>279</v>
      </c>
      <c r="I16" s="11" t="str">
        <f t="shared" si="2"/>
        <v/>
      </c>
      <c r="J16" s="10" t="s">
        <v>280</v>
      </c>
      <c r="K16" s="11" t="str">
        <f t="shared" si="3"/>
        <v/>
      </c>
      <c r="L16" s="10" t="s">
        <v>280</v>
      </c>
      <c r="M16" s="11" t="str">
        <f t="shared" si="4"/>
        <v/>
      </c>
      <c r="N16" s="10" t="s">
        <v>277</v>
      </c>
      <c r="O16" s="11" t="str">
        <f t="shared" si="5"/>
        <v/>
      </c>
      <c r="P16" s="10" t="s">
        <v>278</v>
      </c>
      <c r="Q16" s="11" t="str">
        <f t="shared" si="6"/>
        <v/>
      </c>
      <c r="R16" s="10" t="s">
        <v>278</v>
      </c>
      <c r="S16" s="11" t="str">
        <f t="shared" si="7"/>
        <v/>
      </c>
      <c r="T16" s="10" t="s">
        <v>281</v>
      </c>
      <c r="U16" s="11" t="str">
        <f t="shared" si="8"/>
        <v/>
      </c>
      <c r="V16" s="10" t="s">
        <v>278</v>
      </c>
      <c r="W16" s="11" t="str">
        <f t="shared" si="9"/>
        <v/>
      </c>
      <c r="X16" s="10" t="s">
        <v>278</v>
      </c>
      <c r="Y16" s="11" t="str">
        <f t="shared" si="10"/>
        <v/>
      </c>
      <c r="Z16" s="29" t="s">
        <v>280</v>
      </c>
      <c r="AA16" s="11" t="str">
        <f t="shared" si="11"/>
        <v/>
      </c>
      <c r="AB16" s="23" t="s">
        <v>278</v>
      </c>
      <c r="AC16" s="11" t="str">
        <f t="shared" si="12"/>
        <v/>
      </c>
      <c r="AD16" s="10" t="s">
        <v>282</v>
      </c>
      <c r="AE16" s="11" t="str">
        <f t="shared" si="13"/>
        <v/>
      </c>
      <c r="AF16" s="10" t="s">
        <v>278</v>
      </c>
      <c r="AG16" s="11" t="str">
        <f t="shared" si="14"/>
        <v/>
      </c>
      <c r="AH16" s="10" t="s">
        <v>279</v>
      </c>
      <c r="AI16" s="11" t="str">
        <f t="shared" si="15"/>
        <v/>
      </c>
      <c r="AJ16" s="10" t="s">
        <v>278</v>
      </c>
      <c r="AK16" s="11" t="str">
        <f t="shared" si="16"/>
        <v/>
      </c>
      <c r="AL16" s="31" t="s">
        <v>277</v>
      </c>
      <c r="AM16" s="11" t="str">
        <f t="shared" si="17"/>
        <v/>
      </c>
      <c r="AN16" s="10" t="s">
        <v>279</v>
      </c>
      <c r="AO16" s="11" t="str">
        <f t="shared" si="18"/>
        <v/>
      </c>
      <c r="AP16" s="10" t="s">
        <v>278</v>
      </c>
      <c r="AQ16" s="11" t="str">
        <f t="shared" si="19"/>
        <v/>
      </c>
      <c r="AR16" s="10" t="s">
        <v>328</v>
      </c>
      <c r="AS16" s="11" t="str">
        <f t="shared" si="20"/>
        <v/>
      </c>
      <c r="AT16" s="10" t="s">
        <v>279</v>
      </c>
      <c r="AU16" s="11" t="str">
        <f t="shared" si="21"/>
        <v/>
      </c>
    </row>
    <row r="17" spans="1:47" ht="14.45" customHeight="1" x14ac:dyDescent="0.25">
      <c r="A17" s="11"/>
      <c r="B17" s="14" t="s">
        <v>283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tabSelected="1" workbookViewId="0">
      <pane ySplit="1" topLeftCell="A2" activePane="bottomLeft" state="frozen"/>
      <selection pane="bottomLeft" activeCell="A7" sqref="A7:XFD7"/>
    </sheetView>
  </sheetViews>
  <sheetFormatPr defaultRowHeight="15" x14ac:dyDescent="0.25"/>
  <cols>
    <col min="1" max="1" width="10.7109375" customWidth="1"/>
    <col min="2" max="2" width="22" customWidth="1"/>
    <col min="3" max="3" width="20.7109375" customWidth="1"/>
    <col min="4" max="4" width="15.7109375" customWidth="1"/>
    <col min="5" max="5" width="10" customWidth="1"/>
  </cols>
  <sheetData>
    <row r="1" spans="1:5" ht="18" customHeight="1" x14ac:dyDescent="0.25">
      <c r="A1" s="17" t="s">
        <v>284</v>
      </c>
      <c r="B1" s="17"/>
      <c r="C1" s="17"/>
      <c r="D1" s="17"/>
      <c r="E1" s="17"/>
    </row>
    <row r="2" spans="1:5" ht="18" customHeight="1" x14ac:dyDescent="0.25">
      <c r="A2" s="16" t="s">
        <v>285</v>
      </c>
      <c r="B2" s="16" t="s">
        <v>286</v>
      </c>
      <c r="C2" s="16" t="s">
        <v>287</v>
      </c>
      <c r="D2" s="16" t="s">
        <v>288</v>
      </c>
      <c r="E2" s="16" t="s">
        <v>289</v>
      </c>
    </row>
    <row r="3" spans="1:5" ht="18" customHeight="1" x14ac:dyDescent="0.25">
      <c r="A3" s="11">
        <f>_xlfn.RANK.EQ(E3,$E$3:$E$90,0)</f>
        <v>1</v>
      </c>
      <c r="B3" s="1" t="str">
        <f>Wedstrijden_beheer!O1</f>
        <v>Maik</v>
      </c>
      <c r="C3" s="11">
        <f>SUM(Wedstrijden_beheer!P3:'Wedstrijden_beheer'!P194)</f>
        <v>89</v>
      </c>
      <c r="D3" s="11">
        <f>Bonus_beheer!O17</f>
        <v>0</v>
      </c>
      <c r="E3" s="11">
        <f>C3+D3</f>
        <v>89</v>
      </c>
    </row>
    <row r="4" spans="1:5" ht="18" customHeight="1" x14ac:dyDescent="0.25">
      <c r="A4" s="11">
        <f>_xlfn.RANK.EQ(E4,$E$3:$E$90,0)</f>
        <v>2</v>
      </c>
      <c r="B4" s="1" t="str">
        <f>Wedstrijden_beheer!AA1</f>
        <v>Ivo</v>
      </c>
      <c r="C4" s="11">
        <f>SUM(Wedstrijden_beheer!AB3:'Wedstrijden_beheer'!AB194)</f>
        <v>85</v>
      </c>
      <c r="D4" s="11">
        <f>Bonus_beheer!AA17</f>
        <v>0</v>
      </c>
      <c r="E4" s="11">
        <f>C4+D4</f>
        <v>85</v>
      </c>
    </row>
    <row r="5" spans="1:5" ht="18" customHeight="1" x14ac:dyDescent="0.25">
      <c r="A5" s="11">
        <f>_xlfn.RANK.EQ(E5,$E$3:$E$90,0)</f>
        <v>3</v>
      </c>
      <c r="B5" s="1" t="str">
        <f>Wedstrijden_beheer!AE1</f>
        <v>Jeroen</v>
      </c>
      <c r="C5" s="11">
        <f>SUM(Wedstrijden_beheer!AF3:'Wedstrijden_beheer'!AF194)</f>
        <v>81</v>
      </c>
      <c r="D5" s="11">
        <f>Bonus_beheer!AE17</f>
        <v>0</v>
      </c>
      <c r="E5" s="11">
        <f>C5+D5</f>
        <v>81</v>
      </c>
    </row>
    <row r="6" spans="1:5" ht="18" customHeight="1" x14ac:dyDescent="0.25">
      <c r="A6" s="11">
        <f>_xlfn.RANK.EQ(E6,$E$3:$E$90,0)</f>
        <v>4</v>
      </c>
      <c r="B6" s="1" t="str">
        <f>Wedstrijden_beheer!I1</f>
        <v>Abdussamed</v>
      </c>
      <c r="C6" s="11">
        <f>SUM(Wedstrijden_beheer!J3:'Wedstrijden_beheer'!J194)</f>
        <v>79</v>
      </c>
      <c r="D6" s="11">
        <f>Bonus_beheer!I17</f>
        <v>0</v>
      </c>
      <c r="E6" s="11">
        <f>C6+D6</f>
        <v>79</v>
      </c>
    </row>
    <row r="7" spans="1:5" ht="18" customHeight="1" x14ac:dyDescent="0.25">
      <c r="A7" s="11">
        <f>_xlfn.RANK.EQ(E7,$E$3:$E$90,0)</f>
        <v>5</v>
      </c>
      <c r="B7" s="1" t="str">
        <f>Wedstrijden_beheer!M1</f>
        <v>Bas</v>
      </c>
      <c r="C7" s="11">
        <f>SUM(Wedstrijden_beheer!N3:'Wedstrijden_beheer'!N194)</f>
        <v>77</v>
      </c>
      <c r="D7" s="11">
        <f>Bonus_beheer!M17</f>
        <v>0</v>
      </c>
      <c r="E7" s="11">
        <f>C7+D7</f>
        <v>77</v>
      </c>
    </row>
    <row r="8" spans="1:5" ht="18" customHeight="1" x14ac:dyDescent="0.25">
      <c r="A8" s="11">
        <f>_xlfn.RANK.EQ(E8,$E$3:$E$90,0)</f>
        <v>6</v>
      </c>
      <c r="B8" s="1" t="str">
        <f>Wedstrijden_beheer!G1</f>
        <v>Nikki</v>
      </c>
      <c r="C8" s="11">
        <f>SUM(Wedstrijden_beheer!H3:'Wedstrijden_beheer'!H194)</f>
        <v>76</v>
      </c>
      <c r="D8" s="11">
        <f>Bonus_beheer!G17</f>
        <v>0</v>
      </c>
      <c r="E8" s="11">
        <f>C8+D8</f>
        <v>76</v>
      </c>
    </row>
    <row r="9" spans="1:5" ht="18" customHeight="1" x14ac:dyDescent="0.25">
      <c r="A9" s="11">
        <f>_xlfn.RANK.EQ(E9,$E$3:$E$90,0)</f>
        <v>6</v>
      </c>
      <c r="B9" s="1" t="str">
        <f>Wedstrijden_beheer!AK1</f>
        <v>Kim</v>
      </c>
      <c r="C9" s="11">
        <f>SUM(Wedstrijden_beheer!AL3:'Wedstrijden_beheer'!AL194)</f>
        <v>76</v>
      </c>
      <c r="D9" s="11">
        <f>Bonus_beheer!AK17</f>
        <v>0</v>
      </c>
      <c r="E9" s="11">
        <f>C9+D9</f>
        <v>76</v>
      </c>
    </row>
    <row r="10" spans="1:5" ht="18" customHeight="1" x14ac:dyDescent="0.25">
      <c r="A10" s="11">
        <f>_xlfn.RANK.EQ(E10,$E$3:$E$90,0)</f>
        <v>8</v>
      </c>
      <c r="B10" s="1" t="str">
        <f>Wedstrijden_beheer!U1</f>
        <v>Tom</v>
      </c>
      <c r="C10" s="11">
        <f>SUM(Wedstrijden_beheer!V3:'Wedstrijden_beheer'!V194)</f>
        <v>74</v>
      </c>
      <c r="D10" s="11">
        <f>Bonus_beheer!U17</f>
        <v>0</v>
      </c>
      <c r="E10" s="11">
        <f>C10+D10</f>
        <v>74</v>
      </c>
    </row>
    <row r="11" spans="1:5" ht="18" customHeight="1" x14ac:dyDescent="0.25">
      <c r="A11" s="11">
        <f>_xlfn.RANK.EQ(E11,$E$3:$E$90,0)</f>
        <v>8</v>
      </c>
      <c r="B11" s="1" t="str">
        <f>Wedstrijden_beheer!S1</f>
        <v>Marc</v>
      </c>
      <c r="C11" s="11">
        <f>SUM(Wedstrijden_beheer!T3:'Wedstrijden_beheer'!T194)</f>
        <v>74</v>
      </c>
      <c r="D11" s="11">
        <f>Bonus_beheer!S17</f>
        <v>0</v>
      </c>
      <c r="E11" s="11">
        <f>C11+D11</f>
        <v>74</v>
      </c>
    </row>
    <row r="12" spans="1:5" ht="18" customHeight="1" x14ac:dyDescent="0.25">
      <c r="A12" s="11">
        <f>_xlfn.RANK.EQ(E12,$E$3:$E$90,0)</f>
        <v>10</v>
      </c>
      <c r="B12" s="1" t="str">
        <f>Wedstrijden_beheer!Y1</f>
        <v>Lesley</v>
      </c>
      <c r="C12" s="11">
        <f>SUM(Wedstrijden_beheer!Z3:'Wedstrijden_beheer'!Z194)</f>
        <v>72</v>
      </c>
      <c r="D12" s="11">
        <f>Bonus_beheer!Y17</f>
        <v>0</v>
      </c>
      <c r="E12" s="11">
        <f>C12+D12</f>
        <v>72</v>
      </c>
    </row>
    <row r="13" spans="1:5" ht="18" customHeight="1" x14ac:dyDescent="0.25">
      <c r="A13" s="11">
        <f>_xlfn.RANK.EQ(E13,$E$3:$E$90,0)</f>
        <v>11</v>
      </c>
      <c r="B13" s="1" t="str">
        <f>Wedstrijden_beheer!AG1</f>
        <v>Erwin</v>
      </c>
      <c r="C13" s="11">
        <f>SUM(Wedstrijden_beheer!AH3:'Wedstrijden_beheer'!AH194)</f>
        <v>71</v>
      </c>
      <c r="D13" s="11">
        <f>Bonus_beheer!AG17</f>
        <v>0</v>
      </c>
      <c r="E13" s="11">
        <f>C13+D13</f>
        <v>71</v>
      </c>
    </row>
    <row r="14" spans="1:5" ht="18" customHeight="1" x14ac:dyDescent="0.25">
      <c r="A14" s="11">
        <f>_xlfn.RANK.EQ(E14,$E$3:$E$90,0)</f>
        <v>12</v>
      </c>
      <c r="B14" s="1" t="str">
        <f>Wedstrijden_beheer!AU1</f>
        <v>Raymond</v>
      </c>
      <c r="C14" s="11">
        <f>SUM(Wedstrijden_beheer!AV3:'Wedstrijden_beheer'!AV194)</f>
        <v>70</v>
      </c>
      <c r="D14" s="11">
        <f>Bonus_beheer!AU17</f>
        <v>0</v>
      </c>
      <c r="E14" s="11">
        <f>C14+D14</f>
        <v>70</v>
      </c>
    </row>
    <row r="15" spans="1:5" ht="18" customHeight="1" x14ac:dyDescent="0.25">
      <c r="A15" s="11">
        <f>_xlfn.RANK.EQ(E15,$E$3:$E$90,0)</f>
        <v>12</v>
      </c>
      <c r="B15" s="1" t="str">
        <f>Wedstrijden_beheer!AQ1</f>
        <v>Jeno</v>
      </c>
      <c r="C15" s="11">
        <f>SUM(Wedstrijden_beheer!AV4:'Wedstrijden_beheer'!AV195)</f>
        <v>70</v>
      </c>
      <c r="D15" s="11">
        <f>Bonus_beheer!AU18</f>
        <v>0</v>
      </c>
      <c r="E15" s="11">
        <f>C15+D15</f>
        <v>70</v>
      </c>
    </row>
    <row r="16" spans="1:5" ht="18" customHeight="1" x14ac:dyDescent="0.25">
      <c r="A16" s="11">
        <f>_xlfn.RANK.EQ(E16,$E$3:$E$90,0)</f>
        <v>14</v>
      </c>
      <c r="B16" s="1" t="str">
        <f>Wedstrijden_beheer!E1</f>
        <v>Roland</v>
      </c>
      <c r="C16" s="11">
        <f>SUM(Wedstrijden_beheer!F3:'Wedstrijden_beheer'!F194)</f>
        <v>69</v>
      </c>
      <c r="D16" s="11">
        <f>Bonus_beheer!E17</f>
        <v>0</v>
      </c>
      <c r="E16" s="11">
        <f>C16+D16</f>
        <v>69</v>
      </c>
    </row>
    <row r="17" spans="1:5" ht="18" customHeight="1" x14ac:dyDescent="0.25">
      <c r="A17" s="11">
        <f>_xlfn.RANK.EQ(E17,$E$3:$E$90,0)</f>
        <v>15</v>
      </c>
      <c r="B17" s="1" t="str">
        <f>Wedstrijden_beheer!Q1</f>
        <v>Simone</v>
      </c>
      <c r="C17" s="11">
        <f>SUM(Wedstrijden_beheer!R3:'Wedstrijden_beheer'!R194)</f>
        <v>68</v>
      </c>
      <c r="D17" s="11">
        <f>Bonus_beheer!Q17</f>
        <v>0</v>
      </c>
      <c r="E17" s="11">
        <f>C17+D17</f>
        <v>68</v>
      </c>
    </row>
    <row r="18" spans="1:5" ht="18" customHeight="1" x14ac:dyDescent="0.25">
      <c r="A18" s="11">
        <f>_xlfn.RANK.EQ(E18,$E$3:$E$90,0)</f>
        <v>15</v>
      </c>
      <c r="B18" s="1" t="str">
        <f>Wedstrijden_beheer!AS1</f>
        <v>Andre</v>
      </c>
      <c r="C18" s="11">
        <f>SUM(Wedstrijden_beheer!R4:'Wedstrijden_beheer'!R195)</f>
        <v>68</v>
      </c>
      <c r="D18" s="11">
        <f>Bonus_beheer!Q18</f>
        <v>0</v>
      </c>
      <c r="E18" s="11">
        <f>C18+D18</f>
        <v>68</v>
      </c>
    </row>
    <row r="19" spans="1:5" ht="18" customHeight="1" x14ac:dyDescent="0.25">
      <c r="A19" s="11">
        <f>_xlfn.RANK.EQ(E19,$E$3:$E$90,0)</f>
        <v>17</v>
      </c>
      <c r="B19" s="1" t="str">
        <f>Wedstrijden_beheer!AO1</f>
        <v>Patrick</v>
      </c>
      <c r="C19" s="11">
        <f>SUM(Wedstrijden_beheer!AP3:'Wedstrijden_beheer'!AP194)</f>
        <v>66</v>
      </c>
      <c r="D19" s="11">
        <f>Bonus_beheer!AO17</f>
        <v>0</v>
      </c>
      <c r="E19" s="11">
        <f>C19+D19</f>
        <v>66</v>
      </c>
    </row>
    <row r="20" spans="1:5" ht="18" customHeight="1" x14ac:dyDescent="0.25">
      <c r="A20" s="11">
        <f>_xlfn.RANK.EQ(E20,$E$3:$E$90,0)</f>
        <v>18</v>
      </c>
      <c r="B20" s="1" t="str">
        <f>Wedstrijden_beheer!W1</f>
        <v>Jos</v>
      </c>
      <c r="C20" s="11">
        <f>SUM(Wedstrijden_beheer!X3:'Wedstrijden_beheer'!X194)</f>
        <v>65</v>
      </c>
      <c r="D20" s="11">
        <f>Bonus_beheer!W17</f>
        <v>0</v>
      </c>
      <c r="E20" s="11">
        <f>C20+D20</f>
        <v>65</v>
      </c>
    </row>
    <row r="21" spans="1:5" ht="18" customHeight="1" x14ac:dyDescent="0.25">
      <c r="A21" s="11">
        <f>_xlfn.RANK.EQ(E21,$E$3:$E$90,0)</f>
        <v>19</v>
      </c>
      <c r="B21" s="1" t="str">
        <f>Wedstrijden_beheer!AI1</f>
        <v>Tim</v>
      </c>
      <c r="C21" s="11">
        <f>SUM(Wedstrijden_beheer!AJ3:'Wedstrijden_beheer'!AJ194)</f>
        <v>63</v>
      </c>
      <c r="D21" s="11">
        <f>Bonus_beheer!AI17</f>
        <v>0</v>
      </c>
      <c r="E21" s="11">
        <f>C21+D21</f>
        <v>63</v>
      </c>
    </row>
    <row r="22" spans="1:5" ht="18" customHeight="1" x14ac:dyDescent="0.25">
      <c r="A22" s="11">
        <f>_xlfn.RANK.EQ(E22,$E$3:$E$90,0)</f>
        <v>20</v>
      </c>
      <c r="B22" s="1" t="str">
        <f>Wedstrijden_beheer!AM1</f>
        <v>Kristel</v>
      </c>
      <c r="C22" s="11">
        <f>SUM(Wedstrijden_beheer!AN3:'Wedstrijden_beheer'!AN194)</f>
        <v>61</v>
      </c>
      <c r="D22" s="11">
        <f>Bonus_beheer!AM17</f>
        <v>0</v>
      </c>
      <c r="E22" s="11">
        <f>C22+D22</f>
        <v>61</v>
      </c>
    </row>
    <row r="23" spans="1:5" x14ac:dyDescent="0.25">
      <c r="A23" s="11">
        <f>_xlfn.RANK.EQ(E23,$E$3:$E$90,0)</f>
        <v>20</v>
      </c>
      <c r="B23" s="1" t="str">
        <f>Wedstrijden_beheer!AC1</f>
        <v>Ron</v>
      </c>
      <c r="C23" s="11">
        <f>SUM(Wedstrijden_beheer!AD3:'Wedstrijden_beheer'!AD194)</f>
        <v>61</v>
      </c>
      <c r="D23" s="11">
        <f>Bonus_beheer!AC17</f>
        <v>0</v>
      </c>
      <c r="E23" s="11">
        <f>C23+D23</f>
        <v>61</v>
      </c>
    </row>
    <row r="24" spans="1:5" x14ac:dyDescent="0.25">
      <c r="A24" s="11">
        <f>_xlfn.RANK.EQ(E24,$E$3:$E$90,0)</f>
        <v>22</v>
      </c>
      <c r="B24" s="1" t="str">
        <f>Wedstrijden_beheer!K1</f>
        <v>Karsten</v>
      </c>
      <c r="C24" s="11">
        <f>SUM(Wedstrijden_beheer!L3:'Wedstrijden_beheer'!L194)</f>
        <v>55</v>
      </c>
      <c r="D24" s="11">
        <f>Bonus_beheer!K17</f>
        <v>0</v>
      </c>
      <c r="E24" s="11">
        <f>C24+D24</f>
        <v>55</v>
      </c>
    </row>
  </sheetData>
  <autoFilter ref="E2:E22" xr:uid="{00000000-0009-0000-0000-000002000000}">
    <sortState xmlns:xlrd2="http://schemas.microsoft.com/office/spreadsheetml/2017/richdata2" ref="A3:E24">
      <sortCondition descending="1" ref="E2:E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5" zeroHeight="1" x14ac:dyDescent="0.25"/>
  <cols>
    <col min="1" max="1" width="29.5703125" customWidth="1"/>
    <col min="2" max="2" width="28" customWidth="1"/>
    <col min="3" max="16384" width="8.7109375" hidden="1"/>
  </cols>
  <sheetData>
    <row r="1" spans="1:2" ht="18" customHeight="1" x14ac:dyDescent="0.25">
      <c r="A1" s="17" t="s">
        <v>290</v>
      </c>
      <c r="B1" s="17"/>
    </row>
    <row r="2" spans="1:2" ht="18" customHeight="1" x14ac:dyDescent="0.25">
      <c r="A2" s="16" t="s">
        <v>291</v>
      </c>
      <c r="B2" s="16" t="s">
        <v>292</v>
      </c>
    </row>
    <row r="3" spans="1:2" ht="18" customHeight="1" x14ac:dyDescent="0.25">
      <c r="A3" s="1" t="s">
        <v>293</v>
      </c>
      <c r="B3" s="1" t="s">
        <v>294</v>
      </c>
    </row>
    <row r="4" spans="1:2" ht="18" customHeight="1" x14ac:dyDescent="0.25">
      <c r="A4" s="1" t="s">
        <v>295</v>
      </c>
      <c r="B4" s="1" t="s">
        <v>294</v>
      </c>
    </row>
    <row r="5" spans="1:2" ht="18" customHeight="1" x14ac:dyDescent="0.25">
      <c r="A5" s="1" t="s">
        <v>296</v>
      </c>
      <c r="B5" s="1" t="s">
        <v>297</v>
      </c>
    </row>
    <row r="6" spans="1:2" ht="18" customHeight="1" x14ac:dyDescent="0.25">
      <c r="A6" s="1" t="s">
        <v>298</v>
      </c>
      <c r="B6" s="1" t="s">
        <v>299</v>
      </c>
    </row>
    <row r="7" spans="1:2" ht="18" customHeight="1" x14ac:dyDescent="0.25">
      <c r="A7" s="1" t="s">
        <v>300</v>
      </c>
      <c r="B7" s="1" t="s">
        <v>301</v>
      </c>
    </row>
    <row r="8" spans="1:2" ht="18" customHeight="1" x14ac:dyDescent="0.25">
      <c r="A8" s="1" t="s">
        <v>302</v>
      </c>
      <c r="B8" s="1" t="s">
        <v>303</v>
      </c>
    </row>
    <row r="9" spans="1:2" ht="18" customHeight="1" x14ac:dyDescent="0.25">
      <c r="A9" s="1" t="s">
        <v>304</v>
      </c>
      <c r="B9" s="1" t="s">
        <v>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5" zeroHeight="1" x14ac:dyDescent="0.25"/>
  <cols>
    <col min="1" max="1" width="55.7109375" customWidth="1"/>
    <col min="2" max="2" width="10.7109375" customWidth="1"/>
    <col min="3" max="3" width="30.7109375" customWidth="1"/>
    <col min="4" max="44" width="0" hidden="1" customWidth="1"/>
    <col min="45" max="16384" width="8.7109375" hidden="1"/>
  </cols>
  <sheetData>
    <row r="1" spans="1:44" ht="18" customHeight="1" x14ac:dyDescent="0.25">
      <c r="A1" s="17" t="s">
        <v>306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25">
      <c r="A2" s="16" t="s">
        <v>291</v>
      </c>
      <c r="B2" s="16" t="s">
        <v>28</v>
      </c>
      <c r="C2" s="16" t="s">
        <v>307</v>
      </c>
    </row>
    <row r="3" spans="1:44" ht="18" customHeight="1" x14ac:dyDescent="0.25">
      <c r="A3" s="1" t="s">
        <v>308</v>
      </c>
      <c r="B3" s="1">
        <v>10</v>
      </c>
      <c r="C3" s="1" t="s">
        <v>309</v>
      </c>
    </row>
    <row r="4" spans="1:44" ht="18" customHeight="1" x14ac:dyDescent="0.25">
      <c r="A4" s="1" t="s">
        <v>310</v>
      </c>
      <c r="B4" s="1">
        <v>5</v>
      </c>
      <c r="C4" s="1" t="s">
        <v>311</v>
      </c>
    </row>
    <row r="5" spans="1:44" ht="18" customHeight="1" x14ac:dyDescent="0.25">
      <c r="A5" s="1" t="s">
        <v>312</v>
      </c>
      <c r="B5" s="1">
        <v>2</v>
      </c>
      <c r="C5" s="1" t="s">
        <v>313</v>
      </c>
    </row>
    <row r="6" spans="1:44" ht="18" customHeight="1" x14ac:dyDescent="0.25">
      <c r="A6" s="1" t="s">
        <v>314</v>
      </c>
      <c r="B6" s="1">
        <v>2</v>
      </c>
      <c r="C6" s="1" t="s">
        <v>315</v>
      </c>
    </row>
    <row r="7" spans="1:44" ht="18" customHeight="1" x14ac:dyDescent="0.25">
      <c r="A7" s="1" t="s">
        <v>316</v>
      </c>
      <c r="B7" s="1">
        <v>2</v>
      </c>
      <c r="C7" s="1" t="s">
        <v>317</v>
      </c>
    </row>
    <row r="8" spans="1:44" ht="18" customHeight="1" x14ac:dyDescent="0.25">
      <c r="A8" s="1" t="s">
        <v>318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D11" sqref="D11"/>
    </sheetView>
  </sheetViews>
  <sheetFormatPr defaultRowHeight="15" x14ac:dyDescent="0.25"/>
  <cols>
    <col min="1" max="1" width="20.5703125" customWidth="1"/>
    <col min="2" max="2" width="16.5703125" customWidth="1"/>
    <col min="3" max="3" width="15" customWidth="1"/>
  </cols>
  <sheetData>
    <row r="1" spans="1:3" x14ac:dyDescent="0.25">
      <c r="A1" s="26" t="s">
        <v>319</v>
      </c>
      <c r="B1" s="26" t="s">
        <v>320</v>
      </c>
      <c r="C1" s="26" t="s">
        <v>321</v>
      </c>
    </row>
    <row r="2" spans="1:3" x14ac:dyDescent="0.25">
      <c r="A2" t="s">
        <v>322</v>
      </c>
      <c r="B2" t="s">
        <v>22</v>
      </c>
      <c r="C2" t="s">
        <v>21</v>
      </c>
    </row>
    <row r="3" spans="1:3" x14ac:dyDescent="0.25">
      <c r="B3" t="s">
        <v>23</v>
      </c>
      <c r="C3" t="s">
        <v>18</v>
      </c>
    </row>
    <row r="4" spans="1:3" x14ac:dyDescent="0.25">
      <c r="B4" t="s">
        <v>24</v>
      </c>
      <c r="C4" t="s">
        <v>13</v>
      </c>
    </row>
    <row r="5" spans="1:3" x14ac:dyDescent="0.25">
      <c r="B5" t="s">
        <v>323</v>
      </c>
      <c r="C5" t="s">
        <v>324</v>
      </c>
    </row>
    <row r="6" spans="1:3" x14ac:dyDescent="0.25">
      <c r="B6" t="s">
        <v>20</v>
      </c>
      <c r="C6" t="s">
        <v>14</v>
      </c>
    </row>
    <row r="7" spans="1:3" x14ac:dyDescent="0.25">
      <c r="B7" t="s">
        <v>17</v>
      </c>
    </row>
    <row r="8" spans="1:3" x14ac:dyDescent="0.25">
      <c r="B8" t="s">
        <v>15</v>
      </c>
    </row>
    <row r="9" spans="1:3" x14ac:dyDescent="0.25">
      <c r="B9" t="s">
        <v>16</v>
      </c>
    </row>
    <row r="10" spans="1:3" x14ac:dyDescent="0.25">
      <c r="B10" t="s">
        <v>11</v>
      </c>
    </row>
    <row r="11" spans="1:3" x14ac:dyDescent="0.25">
      <c r="B11" t="s">
        <v>9</v>
      </c>
    </row>
    <row r="12" spans="1:3" x14ac:dyDescent="0.25">
      <c r="B12" t="s">
        <v>10</v>
      </c>
    </row>
    <row r="13" spans="1:3" x14ac:dyDescent="0.25">
      <c r="B13" t="s">
        <v>12</v>
      </c>
    </row>
    <row r="14" spans="1:3" x14ac:dyDescent="0.25">
      <c r="B14" t="s">
        <v>8</v>
      </c>
    </row>
    <row r="15" spans="1:3" x14ac:dyDescent="0.25">
      <c r="B15" t="s">
        <v>7</v>
      </c>
    </row>
    <row r="16" spans="1:3" x14ac:dyDescent="0.25">
      <c r="B16" t="s">
        <v>6</v>
      </c>
    </row>
    <row r="17" spans="2:2" x14ac:dyDescent="0.25">
      <c r="B17" t="s">
        <v>5</v>
      </c>
    </row>
    <row r="18" spans="2:2" x14ac:dyDescent="0.25">
      <c r="B18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Props1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67818C-8D56-468A-9A53-C7AB90E97273}">
  <ds:schemaRefs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http://www.w3.org/XML/1998/namespace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purl.org/dc/terms/"/>
    <ds:schemaRef ds:uri="7b90d758-d430-4ffd-9227-0f539ac48821"/>
    <ds:schemaRef ds:uri="7c2036e6-2c6c-4cc0-93d3-66cc911cb07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2026-06-17T05:28:22Z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